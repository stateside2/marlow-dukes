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Room'!$A$1:$F$50</definedName>
  </definedNames>
  <calcPr/>
  <extLst>
    <ext uri="GoogleSheetsCustomDataVersion2">
      <go:sheetsCustomData xmlns:go="http://customooxmlschemas.google.com/" r:id="rId9" roundtripDataChecksum="Bpne+0qzTsUtmeKC+BUUJGiJx+74PaNyh8rm1Vw91xM="/>
    </ext>
  </extLst>
</workbook>
</file>

<file path=xl/sharedStrings.xml><?xml version="1.0" encoding="utf-8"?>
<sst xmlns="http://schemas.openxmlformats.org/spreadsheetml/2006/main" count="620" uniqueCount="238">
  <si>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</si>
  <si>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</si>
  <si>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</si>
  <si>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</si>
  <si>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</si>
  <si>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</si>
  <si>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</si>
  <si>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</si>
  <si>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</si>
  <si>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</si>
  <si>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</si>
  <si>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</si>
  <si>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</si>
  <si>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</si>
  <si>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</si>
  <si>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</si>
  <si>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</si>
  <si>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</si>
  <si>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</si>
  <si>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</si>
  <si>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</si>
  <si>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</si>
  <si>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</si>
  <si>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</si>
  <si>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</si>
  <si>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</si>
  <si>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</si>
  <si>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</si>
  <si>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</si>
  <si>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</si>
  <si>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</si>
  <si>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</si>
  <si>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</si>
  <si>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</si>
  <si>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</si>
  <si>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</si>
  <si>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</si>
  <si>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</si>
  <si>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</si>
  <si>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</si>
  <si>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</si>
  <si>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</si>
  <si>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</si>
  <si>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</si>
  <si>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</si>
  <si>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</si>
  <si>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</si>
  <si>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</si>
  <si>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</si>
  <si>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</si>
  <si>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</si>
  <si>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</si>
  <si>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</si>
  <si>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</si>
  <si>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</si>
  <si>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</si>
  <si>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</si>
  <si>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</si>
  <si>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</si>
  <si>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</si>
  <si>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ZIGZAG</t>
  </si>
  <si>
    <t>BRUCE</t>
  </si>
  <si>
    <t>FATHER TED</t>
  </si>
  <si>
    <t>ARTIST</t>
  </si>
  <si>
    <t>KERMIT</t>
  </si>
  <si>
    <t>IAN</t>
  </si>
  <si>
    <t>DUNCAN</t>
  </si>
  <si>
    <t>CARLOS</t>
  </si>
  <si>
    <t>WILSON</t>
  </si>
  <si>
    <t xml:space="preserve">MAMAS </t>
  </si>
  <si>
    <t>PRESTON</t>
  </si>
  <si>
    <t>DOM</t>
  </si>
  <si>
    <t>FLO</t>
  </si>
  <si>
    <t>INSPECTOR GADGET</t>
  </si>
  <si>
    <t>DWARF</t>
  </si>
  <si>
    <t>CAPTAIN KIRK</t>
  </si>
  <si>
    <t>RYAN</t>
  </si>
  <si>
    <t>SONES</t>
  </si>
  <si>
    <t>KRYTON</t>
  </si>
  <si>
    <t>CHRIS B</t>
  </si>
  <si>
    <t>PHANTOM</t>
  </si>
  <si>
    <t>TOY BOY</t>
  </si>
  <si>
    <t>BANKSY</t>
  </si>
  <si>
    <t>TUNDE</t>
  </si>
  <si>
    <t xml:space="preserve">STRAIGHT ROB </t>
  </si>
  <si>
    <t>SONNY</t>
  </si>
  <si>
    <t>MOO</t>
  </si>
  <si>
    <t>CARZOLA</t>
  </si>
  <si>
    <t xml:space="preserve">GUEST </t>
  </si>
  <si>
    <t>DOGGER</t>
  </si>
  <si>
    <t>STEPTOE</t>
  </si>
  <si>
    <t>CHARLIE</t>
  </si>
  <si>
    <t>VINCE</t>
  </si>
  <si>
    <t>KHEN</t>
  </si>
  <si>
    <t>PRADEEP</t>
  </si>
  <si>
    <t>TANGO</t>
  </si>
  <si>
    <t># PLAYERS</t>
  </si>
  <si>
    <t>SCORE</t>
  </si>
  <si>
    <t xml:space="preserve"> 3-2</t>
  </si>
  <si>
    <t xml:space="preserve"> 3-0</t>
  </si>
  <si>
    <t xml:space="preserve"> 1-1 </t>
  </si>
  <si>
    <t xml:space="preserve"> 4-2</t>
  </si>
  <si>
    <t xml:space="preserve"> 6-3</t>
  </si>
  <si>
    <t xml:space="preserve"> 3-1</t>
  </si>
  <si>
    <t xml:space="preserve"> 2-0</t>
  </si>
  <si>
    <t xml:space="preserve"> 6-4</t>
  </si>
  <si>
    <t>4-1</t>
  </si>
  <si>
    <t xml:space="preserve"> 2-1</t>
  </si>
  <si>
    <t xml:space="preserve"> 4-3</t>
  </si>
  <si>
    <t xml:space="preserve"> 2-2</t>
  </si>
  <si>
    <t xml:space="preserve"> 1-1</t>
  </si>
  <si>
    <t xml:space="preserve"> 6-5</t>
  </si>
  <si>
    <t xml:space="preserve"> 5-3</t>
  </si>
  <si>
    <t xml:space="preserve"> 4-1</t>
  </si>
  <si>
    <t xml:space="preserve"> 7-2</t>
  </si>
  <si>
    <t xml:space="preserve"> 0-0</t>
  </si>
  <si>
    <t xml:space="preserve"> 1-0</t>
  </si>
  <si>
    <t>P</t>
  </si>
  <si>
    <t>W</t>
  </si>
  <si>
    <t>D</t>
  </si>
  <si>
    <t>L</t>
  </si>
  <si>
    <t>GD</t>
  </si>
  <si>
    <t>Games</t>
  </si>
  <si>
    <t>Ave</t>
  </si>
  <si>
    <t>SONESY</t>
  </si>
  <si>
    <t>Flo</t>
  </si>
  <si>
    <t>Dwarf</t>
  </si>
  <si>
    <t>Phantom</t>
  </si>
  <si>
    <t>Chris B</t>
  </si>
  <si>
    <t>Moo</t>
  </si>
  <si>
    <t>MAMAS</t>
  </si>
  <si>
    <t>WK 50</t>
  </si>
  <si>
    <t>VOTES</t>
  </si>
  <si>
    <t>WINS</t>
  </si>
  <si>
    <t>SHARED</t>
  </si>
  <si>
    <t>CHRIS BRADLEY</t>
  </si>
  <si>
    <t>GUEST</t>
  </si>
  <si>
    <t>RICHARD GATER</t>
  </si>
  <si>
    <t>BAZ</t>
  </si>
  <si>
    <t># VOTES</t>
  </si>
  <si>
    <t>MARLOW DUKES 2024 - Goals</t>
  </si>
  <si>
    <t>TOTAL</t>
  </si>
  <si>
    <t>OG</t>
  </si>
  <si>
    <t>NEW GUY / GUEST</t>
  </si>
  <si>
    <t>GAZZA</t>
  </si>
  <si>
    <t>MICK</t>
  </si>
  <si>
    <t>Total</t>
  </si>
  <si>
    <t>Week</t>
  </si>
  <si>
    <t>Captain</t>
  </si>
  <si>
    <t>Result</t>
  </si>
  <si>
    <t>Called In 1</t>
  </si>
  <si>
    <t>Called In 2</t>
  </si>
  <si>
    <t>Void</t>
  </si>
  <si>
    <t>Mamas - Captain Kirk</t>
  </si>
  <si>
    <t>Lost 2-3</t>
  </si>
  <si>
    <t>Bruce - Preston</t>
  </si>
  <si>
    <t>Lost 0-3</t>
  </si>
  <si>
    <t>Dom</t>
  </si>
  <si>
    <t>Wilson</t>
  </si>
  <si>
    <t>Kermit - ZigZag</t>
  </si>
  <si>
    <t>Drew 1-1</t>
  </si>
  <si>
    <t>Carlos - Banksy</t>
  </si>
  <si>
    <t>Lost 2-4</t>
  </si>
  <si>
    <t>Kermit</t>
  </si>
  <si>
    <t>Chosen</t>
  </si>
  <si>
    <t>As Captain</t>
  </si>
  <si>
    <t>Father Ted - Posh</t>
  </si>
  <si>
    <t>Lost 3-6</t>
  </si>
  <si>
    <t>ZigZag/Bruce</t>
  </si>
  <si>
    <t>Rob/Dom</t>
  </si>
  <si>
    <t>Wilson - Dwarf</t>
  </si>
  <si>
    <t>Lost 1-3</t>
  </si>
  <si>
    <t>Posh</t>
  </si>
  <si>
    <t>Mamas</t>
  </si>
  <si>
    <t>Bruce</t>
  </si>
  <si>
    <t>Ian - Flo</t>
  </si>
  <si>
    <t>Lost 0-2</t>
  </si>
  <si>
    <t>Carzola</t>
  </si>
  <si>
    <t>ZigZag</t>
  </si>
  <si>
    <t>Preston</t>
  </si>
  <si>
    <t>Carlos</t>
  </si>
  <si>
    <t>Duncan - Dom</t>
  </si>
  <si>
    <t>Lost 4-6</t>
  </si>
  <si>
    <t>Ian</t>
  </si>
  <si>
    <t>Duncan</t>
  </si>
  <si>
    <t>Kryton - Straight Rob</t>
  </si>
  <si>
    <t>Lost 1-4</t>
  </si>
  <si>
    <t>Artist</t>
  </si>
  <si>
    <t>Preston - Gadget</t>
  </si>
  <si>
    <t>Gadget</t>
  </si>
  <si>
    <t>Artist - Moo</t>
  </si>
  <si>
    <t>Bruce - Carlos</t>
  </si>
  <si>
    <t>Lost 1-2</t>
  </si>
  <si>
    <t>Kryton</t>
  </si>
  <si>
    <t>Captain Kirk - Posh</t>
  </si>
  <si>
    <t>Lost 3-4</t>
  </si>
  <si>
    <t>Ryan</t>
  </si>
  <si>
    <t>Banksy - Father Ted</t>
  </si>
  <si>
    <t>Drew 2-2</t>
  </si>
  <si>
    <t>ZigZag - Wilson</t>
  </si>
  <si>
    <t>Father Ted</t>
  </si>
  <si>
    <t>Captain Kirk</t>
  </si>
  <si>
    <t>Carzola - Toy Boy</t>
  </si>
  <si>
    <t>Banksy</t>
  </si>
  <si>
    <t>Dom - Kermit</t>
  </si>
  <si>
    <t>Gadget - Mamas</t>
  </si>
  <si>
    <t>Lost 5-6</t>
  </si>
  <si>
    <t>Sonny</t>
  </si>
  <si>
    <t>Artist - Duncan</t>
  </si>
  <si>
    <t>Posh - Dwarf</t>
  </si>
  <si>
    <t>S Rob</t>
  </si>
  <si>
    <t>Bruce - Sonesy</t>
  </si>
  <si>
    <t>Lost 3-5</t>
  </si>
  <si>
    <t>Tango</t>
  </si>
  <si>
    <t>Carlos - Ian</t>
  </si>
  <si>
    <t>Gadget - Father Ted</t>
  </si>
  <si>
    <t>Khen</t>
  </si>
  <si>
    <t>Banksy - Preston</t>
  </si>
  <si>
    <t>Chris B - Ryan</t>
  </si>
  <si>
    <t>Lost 2-6</t>
  </si>
  <si>
    <t>Drew 0-0</t>
  </si>
  <si>
    <t>Mamas - Artist</t>
  </si>
  <si>
    <t>Duncan - Wilson</t>
  </si>
  <si>
    <t xml:space="preserve">Khen </t>
  </si>
  <si>
    <t>Dom - Posh</t>
  </si>
  <si>
    <t>Preston - Dwarf</t>
  </si>
  <si>
    <t>Carlos - Khen</t>
  </si>
  <si>
    <t>Kryton - Flo</t>
  </si>
  <si>
    <t>Lost 0-1</t>
  </si>
  <si>
    <t>Tango - Bruce</t>
  </si>
  <si>
    <t>Ian - Father Ted</t>
  </si>
  <si>
    <t>Duncan - Kermit</t>
  </si>
  <si>
    <t>ZigZag - Gadget</t>
  </si>
  <si>
    <t>Mamas - Wilson</t>
  </si>
  <si>
    <t>Sonny - Ryan</t>
  </si>
  <si>
    <t>Chris B - Mamas</t>
  </si>
  <si>
    <t>Banksy - Sonesy</t>
  </si>
  <si>
    <t>Captain Kirk - Artist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</si>
</sst>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7" numFmtId="0" xfId="0" applyFont="1"/>
    <xf borderId="0" fillId="0" fontId="8" numFmtId="0" xfId="0" applyFont="1"/>
    <xf borderId="7" fillId="0" fontId="2" numFmtId="0" xfId="0" applyBorder="1" applyFont="1"/>
    <xf borderId="7" fillId="0" fontId="5" numFmtId="0" xfId="0" applyBorder="1" applyFont="1"/>
    <xf borderId="0" fillId="0" fontId="5" numFmtId="2" xfId="0" applyFont="1" applyNumberFormat="1"/>
    <xf borderId="0" fillId="0" fontId="6" numFmtId="16" xfId="0" applyFont="1" applyNumberForma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16" xfId="0" applyBorder="1" applyFont="1" applyNumberFormat="1"/>
    <xf borderId="1" fillId="0" fontId="5" numFmtId="0" xfId="0" applyAlignment="1" applyBorder="1" applyFont="1">
      <alignment horizontal="lef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hidden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45664.0</v>
      </c>
      <c r="C2" s="7">
        <v>45671.0</v>
      </c>
      <c r="D2" s="7">
        <v>45678.0</v>
      </c>
      <c r="E2" s="7">
        <v>45685.0</v>
      </c>
      <c r="F2" s="7">
        <v>45692.0</v>
      </c>
      <c r="G2" s="7">
        <v>45699.0</v>
      </c>
      <c r="H2" s="7">
        <v>45706.0</v>
      </c>
      <c r="I2" s="7">
        <v>45713.0</v>
      </c>
      <c r="J2" s="7">
        <v>45720.0</v>
      </c>
      <c r="K2" s="7">
        <v>45727.0</v>
      </c>
      <c r="L2" s="7">
        <v>45734.0</v>
      </c>
      <c r="M2" s="7">
        <v>45741.0</v>
      </c>
      <c r="N2" s="7">
        <v>45748.0</v>
      </c>
      <c r="O2" s="7">
        <v>45755.0</v>
      </c>
      <c r="P2" s="7">
        <v>45762.0</v>
      </c>
      <c r="Q2" s="7">
        <v>45769.0</v>
      </c>
      <c r="R2" s="7">
        <v>45776.0</v>
      </c>
      <c r="S2" s="7">
        <v>45783.0</v>
      </c>
      <c r="T2" s="7">
        <v>45790.0</v>
      </c>
      <c r="U2" s="7">
        <v>45797.0</v>
      </c>
      <c r="V2" s="7">
        <v>45804.0</v>
      </c>
      <c r="W2" s="7">
        <v>45811.0</v>
      </c>
      <c r="X2" s="7">
        <v>45818.0</v>
      </c>
      <c r="Y2" s="7">
        <v>45825.0</v>
      </c>
      <c r="Z2" s="7">
        <v>45832.0</v>
      </c>
      <c r="AA2" s="7">
        <v>45839.0</v>
      </c>
      <c r="AB2" s="7">
        <v>45846.0</v>
      </c>
      <c r="AC2" s="7">
        <v>45853.0</v>
      </c>
      <c r="AD2" s="7">
        <v>45860.0</v>
      </c>
      <c r="AE2" s="7">
        <v>45867.0</v>
      </c>
      <c r="AF2" s="7">
        <v>45874.0</v>
      </c>
      <c r="AG2" s="7">
        <v>45881.0</v>
      </c>
      <c r="AH2" s="7">
        <v>45888.0</v>
      </c>
      <c r="AI2" s="7">
        <v>45895.0</v>
      </c>
      <c r="AJ2" s="7">
        <v>45902.0</v>
      </c>
      <c r="AK2" s="7">
        <v>45909.0</v>
      </c>
      <c r="AL2" s="7">
        <v>45916.0</v>
      </c>
      <c r="AM2" s="7">
        <v>45923.0</v>
      </c>
      <c r="AN2" s="7">
        <v>45930.0</v>
      </c>
      <c r="AO2" s="7">
        <v>45937.0</v>
      </c>
      <c r="AP2" s="7">
        <v>45944.0</v>
      </c>
      <c r="AQ2" s="7">
        <v>45951.0</v>
      </c>
      <c r="AR2" s="7">
        <v>45958.0</v>
      </c>
      <c r="AS2" s="7">
        <v>45965.0</v>
      </c>
      <c r="AT2" s="7">
        <v>45972.0</v>
      </c>
      <c r="AU2" s="7">
        <v>45979.0</v>
      </c>
      <c r="AV2" s="7">
        <v>45986.0</v>
      </c>
      <c r="AW2" s="7">
        <v>45993.0</v>
      </c>
      <c r="AX2" s="7">
        <v>46000.0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1.0</v>
      </c>
      <c r="D5" s="16"/>
      <c r="E5" s="16">
        <v>0.0</v>
      </c>
      <c r="F5" s="16">
        <v>2.0</v>
      </c>
      <c r="G5" s="17">
        <v>3.0</v>
      </c>
      <c r="H5" s="16">
        <v>-3.0</v>
      </c>
      <c r="I5" s="16"/>
      <c r="J5" s="16">
        <v>-2.0</v>
      </c>
      <c r="K5" s="15"/>
      <c r="L5" s="16">
        <v>3.0</v>
      </c>
      <c r="M5" s="16">
        <v>1.0</v>
      </c>
      <c r="N5" s="16">
        <v>2.0</v>
      </c>
      <c r="O5" s="16">
        <v>1.0</v>
      </c>
      <c r="P5" s="17">
        <v>1.0</v>
      </c>
      <c r="Q5" s="16">
        <v>2.0</v>
      </c>
      <c r="R5" s="16">
        <v>0.0</v>
      </c>
      <c r="S5" s="16">
        <v>2.0</v>
      </c>
      <c r="T5" s="16">
        <v>3.0</v>
      </c>
      <c r="U5" s="16"/>
      <c r="V5" s="16">
        <v>-1.0</v>
      </c>
      <c r="W5" s="15"/>
      <c r="X5" s="16"/>
      <c r="Y5" s="17">
        <v>-1.0</v>
      </c>
      <c r="Z5" s="16"/>
      <c r="AA5" s="16">
        <v>3.0</v>
      </c>
      <c r="AB5" s="16">
        <v>-3.0</v>
      </c>
      <c r="AC5" s="16">
        <v>-1.0</v>
      </c>
      <c r="AD5" s="16">
        <v>-5.0</v>
      </c>
      <c r="AE5" s="16">
        <v>0.0</v>
      </c>
      <c r="AF5" s="16">
        <v>1.0</v>
      </c>
      <c r="AG5" s="16">
        <v>0.0</v>
      </c>
      <c r="AH5" s="17">
        <v>2.0</v>
      </c>
      <c r="AI5" s="16">
        <v>3.0</v>
      </c>
      <c r="AJ5" s="16"/>
      <c r="AK5" s="16">
        <v>1.0</v>
      </c>
      <c r="AL5" s="16">
        <v>-1.0</v>
      </c>
      <c r="AM5" s="16">
        <v>1.0</v>
      </c>
      <c r="AN5" s="16">
        <v>1.0</v>
      </c>
      <c r="AO5" s="16">
        <v>1.0</v>
      </c>
      <c r="AP5" s="16"/>
      <c r="AQ5" s="16">
        <v>-1.0</v>
      </c>
      <c r="AR5" s="16">
        <v>1.0</v>
      </c>
      <c r="AS5" s="16">
        <v>1.0</v>
      </c>
      <c r="AT5" s="16">
        <v>-2.0</v>
      </c>
      <c r="AU5" s="16"/>
      <c r="AV5" s="16"/>
      <c r="AW5" s="16"/>
      <c r="AX5" s="16"/>
      <c r="AY5" s="18">
        <v>1.0</v>
      </c>
      <c r="AZ5" s="5">
        <f t="shared" ref="AZ5:AZ41" si="1">COUNT(B5:AX5)</f>
        <v>35</v>
      </c>
      <c r="BA5" s="5">
        <f t="shared" ref="BA5:BA41" si="2">COUNTIF($B5:$AX5, "&gt;=1")</f>
        <v>21</v>
      </c>
      <c r="BB5" s="5">
        <f t="shared" ref="BB5:BB41" si="3">COUNTIF($B5:$AX5, "0")</f>
        <v>4</v>
      </c>
      <c r="BC5" s="5">
        <f t="shared" ref="BC5:BC41" si="4">COUNTIF($B5:$AX5, "&lt;0")</f>
        <v>10</v>
      </c>
      <c r="BD5" s="5">
        <f t="shared" ref="BD5:BD41" si="5">SUM(BA5*3)+BB5</f>
        <v>67</v>
      </c>
      <c r="BE5" s="5">
        <f t="shared" ref="BE5:BE41" si="6">SUM(B5:AX5)</f>
        <v>16</v>
      </c>
      <c r="BF5" s="19">
        <f t="shared" ref="BF5:BF41" si="7">SUM(BA5*3+BB5*1)/SUM(AZ5*3)</f>
        <v>0.6380952381</v>
      </c>
      <c r="BG5" s="19"/>
    </row>
    <row r="6">
      <c r="A6" s="20" t="s">
        <v>60</v>
      </c>
      <c r="B6" s="21"/>
      <c r="C6" s="22">
        <v>-1.0</v>
      </c>
      <c r="D6" s="22">
        <v>3.0</v>
      </c>
      <c r="E6" s="23">
        <v>0.0</v>
      </c>
      <c r="F6" s="22">
        <v>-2.0</v>
      </c>
      <c r="G6" s="22">
        <v>-3.0</v>
      </c>
      <c r="H6" s="22">
        <v>-3.0</v>
      </c>
      <c r="I6" s="22">
        <v>-2.0</v>
      </c>
      <c r="J6" s="22"/>
      <c r="K6" s="21"/>
      <c r="L6" s="22">
        <v>-3.0</v>
      </c>
      <c r="M6" s="22">
        <v>1.0</v>
      </c>
      <c r="N6" s="22"/>
      <c r="O6" s="22">
        <v>1.0</v>
      </c>
      <c r="P6" s="22">
        <v>-1.0</v>
      </c>
      <c r="Q6" s="22">
        <v>2.0</v>
      </c>
      <c r="R6" s="22">
        <v>0.0</v>
      </c>
      <c r="S6" s="23">
        <v>-2.0</v>
      </c>
      <c r="T6" s="22">
        <v>3.0</v>
      </c>
      <c r="U6" s="22">
        <v>0.0</v>
      </c>
      <c r="V6" s="22">
        <v>1.0</v>
      </c>
      <c r="W6" s="21"/>
      <c r="X6" s="22">
        <v>2.0</v>
      </c>
      <c r="Y6" s="22">
        <v>1.0</v>
      </c>
      <c r="Z6" s="22">
        <v>2.0</v>
      </c>
      <c r="AA6" s="22">
        <v>3.0</v>
      </c>
      <c r="AB6" s="22">
        <v>3.0</v>
      </c>
      <c r="AC6" s="22">
        <v>1.0</v>
      </c>
      <c r="AD6" s="22">
        <v>5.0</v>
      </c>
      <c r="AE6" s="23">
        <v>0.0</v>
      </c>
      <c r="AF6" s="22">
        <v>1.0</v>
      </c>
      <c r="AG6" s="22">
        <v>0.0</v>
      </c>
      <c r="AH6" s="22">
        <v>2.0</v>
      </c>
      <c r="AI6" s="22">
        <v>3.0</v>
      </c>
      <c r="AJ6" s="22">
        <v>-3.0</v>
      </c>
      <c r="AK6" s="22">
        <v>-1.0</v>
      </c>
      <c r="AL6" s="22">
        <v>-1.0</v>
      </c>
      <c r="AM6" s="22">
        <v>-1.0</v>
      </c>
      <c r="AN6" s="22"/>
      <c r="AO6" s="23">
        <v>-1.0</v>
      </c>
      <c r="AP6" s="22">
        <v>2.0</v>
      </c>
      <c r="AQ6" s="22">
        <v>1.0</v>
      </c>
      <c r="AR6" s="22">
        <v>1.0</v>
      </c>
      <c r="AS6" s="22">
        <v>-1.0</v>
      </c>
      <c r="AT6" s="22">
        <v>-2.0</v>
      </c>
      <c r="AU6" s="22"/>
      <c r="AV6" s="22"/>
      <c r="AW6" s="22"/>
      <c r="AX6" s="22"/>
      <c r="AY6" s="18">
        <v>2.0</v>
      </c>
      <c r="AZ6" s="5">
        <f t="shared" si="1"/>
        <v>39</v>
      </c>
      <c r="BA6" s="5">
        <f t="shared" si="2"/>
        <v>19</v>
      </c>
      <c r="BB6" s="5">
        <f t="shared" si="3"/>
        <v>5</v>
      </c>
      <c r="BC6" s="5">
        <f t="shared" si="4"/>
        <v>15</v>
      </c>
      <c r="BD6" s="5">
        <f t="shared" si="5"/>
        <v>62</v>
      </c>
      <c r="BE6" s="5">
        <f t="shared" si="6"/>
        <v>11</v>
      </c>
      <c r="BF6" s="19">
        <f t="shared" si="7"/>
        <v>0.5299145299</v>
      </c>
      <c r="BG6" s="19"/>
    </row>
    <row r="7">
      <c r="A7" s="24" t="s">
        <v>61</v>
      </c>
      <c r="B7" s="25"/>
      <c r="C7" s="26">
        <v>-1.0</v>
      </c>
      <c r="D7" s="27">
        <v>-3.0</v>
      </c>
      <c r="E7" s="26">
        <v>0.0</v>
      </c>
      <c r="F7" s="26">
        <v>2.0</v>
      </c>
      <c r="G7" s="26">
        <v>-3.0</v>
      </c>
      <c r="H7" s="26">
        <v>3.0</v>
      </c>
      <c r="I7" s="26">
        <v>-2.0</v>
      </c>
      <c r="J7" s="26">
        <v>2.0</v>
      </c>
      <c r="K7" s="25"/>
      <c r="L7" s="26">
        <v>3.0</v>
      </c>
      <c r="M7" s="26">
        <v>1.0</v>
      </c>
      <c r="N7" s="26">
        <v>2.0</v>
      </c>
      <c r="O7" s="27">
        <v>-1.0</v>
      </c>
      <c r="P7" s="26">
        <v>1.0</v>
      </c>
      <c r="Q7" s="26">
        <v>-2.0</v>
      </c>
      <c r="R7" s="26"/>
      <c r="S7" s="26">
        <v>-2.0</v>
      </c>
      <c r="T7" s="26">
        <v>3.0</v>
      </c>
      <c r="U7" s="26">
        <v>0.0</v>
      </c>
      <c r="V7" s="26"/>
      <c r="W7" s="25"/>
      <c r="X7" s="26">
        <v>2.0</v>
      </c>
      <c r="Y7" s="26">
        <v>-1.0</v>
      </c>
      <c r="Z7" s="27">
        <v>-2.0</v>
      </c>
      <c r="AA7" s="26">
        <v>3.0</v>
      </c>
      <c r="AB7" s="26">
        <v>-3.0</v>
      </c>
      <c r="AC7" s="26">
        <v>1.0</v>
      </c>
      <c r="AD7" s="26">
        <v>-5.0</v>
      </c>
      <c r="AE7" s="26">
        <v>0.0</v>
      </c>
      <c r="AF7" s="26">
        <v>1.0</v>
      </c>
      <c r="AG7" s="26">
        <v>0.0</v>
      </c>
      <c r="AH7" s="26"/>
      <c r="AI7" s="26">
        <v>-3.0</v>
      </c>
      <c r="AJ7" s="26">
        <v>3.0</v>
      </c>
      <c r="AK7" s="26">
        <v>1.0</v>
      </c>
      <c r="AL7" s="27">
        <v>1.0</v>
      </c>
      <c r="AM7" s="26">
        <v>-1.0</v>
      </c>
      <c r="AN7" s="26">
        <v>1.0</v>
      </c>
      <c r="AO7" s="26">
        <v>-1.0</v>
      </c>
      <c r="AP7" s="26"/>
      <c r="AQ7" s="26">
        <v>1.0</v>
      </c>
      <c r="AR7" s="26">
        <v>1.0</v>
      </c>
      <c r="AS7" s="26">
        <v>1.0</v>
      </c>
      <c r="AT7" s="26">
        <v>-2.0</v>
      </c>
      <c r="AU7" s="26"/>
      <c r="AV7" s="26"/>
      <c r="AW7" s="26"/>
      <c r="AX7" s="26"/>
      <c r="AY7" s="18">
        <v>3.0</v>
      </c>
      <c r="AZ7" s="5">
        <f t="shared" si="1"/>
        <v>38</v>
      </c>
      <c r="BA7" s="5">
        <f t="shared" si="2"/>
        <v>19</v>
      </c>
      <c r="BB7" s="5">
        <f t="shared" si="3"/>
        <v>4</v>
      </c>
      <c r="BC7" s="5">
        <f t="shared" si="4"/>
        <v>15</v>
      </c>
      <c r="BD7" s="5">
        <f t="shared" si="5"/>
        <v>61</v>
      </c>
      <c r="BE7" s="5">
        <f t="shared" si="6"/>
        <v>1</v>
      </c>
      <c r="BF7" s="19">
        <f t="shared" si="7"/>
        <v>0.5350877193</v>
      </c>
      <c r="BG7" s="19"/>
    </row>
    <row r="8">
      <c r="A8" s="14" t="s">
        <v>62</v>
      </c>
      <c r="B8" s="15"/>
      <c r="C8" s="16"/>
      <c r="D8" s="16">
        <v>-3.0</v>
      </c>
      <c r="E8" s="16">
        <v>0.0</v>
      </c>
      <c r="F8" s="16">
        <v>-2.0</v>
      </c>
      <c r="G8" s="17">
        <v>-3.0</v>
      </c>
      <c r="H8" s="16">
        <v>3.0</v>
      </c>
      <c r="I8" s="16">
        <v>-2.0</v>
      </c>
      <c r="J8" s="16">
        <v>-2.0</v>
      </c>
      <c r="K8" s="15"/>
      <c r="L8" s="16">
        <v>-3.0</v>
      </c>
      <c r="M8" s="16">
        <v>1.0</v>
      </c>
      <c r="N8" s="16">
        <v>-2.0</v>
      </c>
      <c r="O8" s="16">
        <v>1.0</v>
      </c>
      <c r="P8" s="16"/>
      <c r="Q8" s="16">
        <v>-2.0</v>
      </c>
      <c r="R8" s="17">
        <v>0.0</v>
      </c>
      <c r="S8" s="16">
        <v>-2.0</v>
      </c>
      <c r="T8" s="16">
        <v>3.0</v>
      </c>
      <c r="U8" s="16">
        <v>0.0</v>
      </c>
      <c r="V8" s="16">
        <v>1.0</v>
      </c>
      <c r="W8" s="15"/>
      <c r="X8" s="16">
        <v>2.0</v>
      </c>
      <c r="Y8" s="16">
        <v>1.0</v>
      </c>
      <c r="Z8" s="16"/>
      <c r="AA8" s="16">
        <v>3.0</v>
      </c>
      <c r="AB8" s="17">
        <v>3.0</v>
      </c>
      <c r="AC8" s="16">
        <v>1.0</v>
      </c>
      <c r="AD8" s="16">
        <v>-5.0</v>
      </c>
      <c r="AE8" s="16"/>
      <c r="AF8" s="16">
        <v>1.0</v>
      </c>
      <c r="AG8" s="16"/>
      <c r="AH8" s="16">
        <v>2.0</v>
      </c>
      <c r="AI8" s="16"/>
      <c r="AJ8" s="16">
        <v>3.0</v>
      </c>
      <c r="AK8" s="16">
        <v>-1.0</v>
      </c>
      <c r="AL8" s="16">
        <v>-1.0</v>
      </c>
      <c r="AM8" s="17">
        <v>1.0</v>
      </c>
      <c r="AN8" s="16"/>
      <c r="AO8" s="16">
        <v>1.0</v>
      </c>
      <c r="AP8" s="16"/>
      <c r="AQ8" s="16">
        <v>1.0</v>
      </c>
      <c r="AR8" s="16">
        <v>1.0</v>
      </c>
      <c r="AS8" s="16"/>
      <c r="AT8" s="16">
        <v>-2.0</v>
      </c>
      <c r="AU8" s="16"/>
      <c r="AV8" s="16"/>
      <c r="AW8" s="16"/>
      <c r="AX8" s="16"/>
      <c r="AY8" s="18">
        <v>4.0</v>
      </c>
      <c r="AZ8" s="5">
        <f t="shared" si="1"/>
        <v>33</v>
      </c>
      <c r="BA8" s="5">
        <f t="shared" si="2"/>
        <v>17</v>
      </c>
      <c r="BB8" s="5">
        <f t="shared" si="3"/>
        <v>3</v>
      </c>
      <c r="BC8" s="5">
        <f t="shared" si="4"/>
        <v>13</v>
      </c>
      <c r="BD8" s="5">
        <f t="shared" si="5"/>
        <v>54</v>
      </c>
      <c r="BE8" s="5">
        <f t="shared" si="6"/>
        <v>-1</v>
      </c>
      <c r="BF8" s="19">
        <f t="shared" si="7"/>
        <v>0.5454545455</v>
      </c>
      <c r="BG8" s="19"/>
    </row>
    <row r="9">
      <c r="A9" s="28" t="s">
        <v>63</v>
      </c>
      <c r="B9" s="29"/>
      <c r="C9" s="30"/>
      <c r="D9" s="30"/>
      <c r="E9" s="30"/>
      <c r="F9" s="30">
        <v>2.0</v>
      </c>
      <c r="G9" s="30"/>
      <c r="H9" s="30">
        <v>3.0</v>
      </c>
      <c r="I9" s="30">
        <v>2.0</v>
      </c>
      <c r="J9" s="30">
        <v>-2.0</v>
      </c>
      <c r="K9" s="29"/>
      <c r="L9" s="30">
        <v>-3.0</v>
      </c>
      <c r="M9" s="30"/>
      <c r="N9" s="31">
        <v>-2.0</v>
      </c>
      <c r="O9" s="30">
        <v>-1.0</v>
      </c>
      <c r="P9" s="30">
        <v>1.0</v>
      </c>
      <c r="Q9" s="30">
        <v>-2.0</v>
      </c>
      <c r="R9" s="30">
        <v>0.0</v>
      </c>
      <c r="S9" s="30">
        <v>2.0</v>
      </c>
      <c r="T9" s="30">
        <v>3.0</v>
      </c>
      <c r="U9" s="30">
        <v>0.0</v>
      </c>
      <c r="V9" s="30">
        <v>1.0</v>
      </c>
      <c r="W9" s="29"/>
      <c r="X9" s="31">
        <v>-2.0</v>
      </c>
      <c r="Y9" s="30"/>
      <c r="Z9" s="30">
        <v>-2.0</v>
      </c>
      <c r="AA9" s="30">
        <v>-3.0</v>
      </c>
      <c r="AB9" s="30">
        <v>3.0</v>
      </c>
      <c r="AC9" s="30">
        <v>-1.0</v>
      </c>
      <c r="AD9" s="30">
        <v>-5.0</v>
      </c>
      <c r="AE9" s="30">
        <v>0.0</v>
      </c>
      <c r="AF9" s="31">
        <v>1.0</v>
      </c>
      <c r="AG9" s="30">
        <v>0.0</v>
      </c>
      <c r="AH9" s="30">
        <v>-2.0</v>
      </c>
      <c r="AI9" s="30">
        <v>3.0</v>
      </c>
      <c r="AJ9" s="30">
        <v>3.0</v>
      </c>
      <c r="AK9" s="30"/>
      <c r="AL9" s="30"/>
      <c r="AM9" s="30">
        <v>1.0</v>
      </c>
      <c r="AN9" s="30">
        <v>1.0</v>
      </c>
      <c r="AO9" s="30">
        <v>-1.0</v>
      </c>
      <c r="AP9" s="30">
        <v>2.0</v>
      </c>
      <c r="AQ9" s="30">
        <v>-1.0</v>
      </c>
      <c r="AR9" s="30"/>
      <c r="AS9" s="30">
        <v>1.0</v>
      </c>
      <c r="AT9" s="31">
        <v>2.0</v>
      </c>
      <c r="AU9" s="30"/>
      <c r="AV9" s="30"/>
      <c r="AW9" s="30"/>
      <c r="AX9" s="30"/>
      <c r="AY9" s="18">
        <v>5.0</v>
      </c>
      <c r="AZ9" s="5">
        <f t="shared" si="1"/>
        <v>33</v>
      </c>
      <c r="BA9" s="5">
        <f t="shared" si="2"/>
        <v>16</v>
      </c>
      <c r="BB9" s="5">
        <f t="shared" si="3"/>
        <v>4</v>
      </c>
      <c r="BC9" s="5">
        <f t="shared" si="4"/>
        <v>13</v>
      </c>
      <c r="BD9" s="5">
        <f t="shared" si="5"/>
        <v>52</v>
      </c>
      <c r="BE9" s="5">
        <f t="shared" si="6"/>
        <v>4</v>
      </c>
      <c r="BF9" s="19">
        <f t="shared" si="7"/>
        <v>0.5252525253</v>
      </c>
      <c r="BG9" s="19"/>
    </row>
    <row r="10">
      <c r="A10" s="28" t="s">
        <v>64</v>
      </c>
      <c r="B10" s="29"/>
      <c r="C10" s="30">
        <v>1.0</v>
      </c>
      <c r="D10" s="30">
        <v>3.0</v>
      </c>
      <c r="E10" s="31">
        <v>0.0</v>
      </c>
      <c r="F10" s="30">
        <v>-2.0</v>
      </c>
      <c r="G10" s="30"/>
      <c r="H10" s="30">
        <v>3.0</v>
      </c>
      <c r="I10" s="30">
        <v>2.0</v>
      </c>
      <c r="J10" s="30">
        <v>2.0</v>
      </c>
      <c r="K10" s="29"/>
      <c r="L10" s="30">
        <v>3.0</v>
      </c>
      <c r="M10" s="30">
        <v>-1.0</v>
      </c>
      <c r="N10" s="26">
        <v>-2.0</v>
      </c>
      <c r="O10" s="26">
        <v>1.0</v>
      </c>
      <c r="P10" s="26"/>
      <c r="Q10" s="26">
        <v>2.0</v>
      </c>
      <c r="R10" s="30">
        <v>0.0</v>
      </c>
      <c r="S10" s="30">
        <v>-2.0</v>
      </c>
      <c r="T10" s="30">
        <v>3.0</v>
      </c>
      <c r="U10" s="31">
        <v>0.0</v>
      </c>
      <c r="V10" s="30">
        <v>-1.0</v>
      </c>
      <c r="W10" s="29"/>
      <c r="X10" s="30"/>
      <c r="Y10" s="30">
        <v>-1.0</v>
      </c>
      <c r="Z10" s="30">
        <v>-2.0</v>
      </c>
      <c r="AA10" s="30">
        <v>3.0</v>
      </c>
      <c r="AB10" s="30">
        <v>-3.0</v>
      </c>
      <c r="AC10" s="30">
        <v>-1.0</v>
      </c>
      <c r="AD10" s="30">
        <v>-5.0</v>
      </c>
      <c r="AE10" s="31">
        <v>0.0</v>
      </c>
      <c r="AF10" s="30">
        <v>-1.0</v>
      </c>
      <c r="AG10" s="30">
        <v>0.0</v>
      </c>
      <c r="AH10" s="30">
        <v>-2.0</v>
      </c>
      <c r="AI10" s="30">
        <v>-3.0</v>
      </c>
      <c r="AJ10" s="30">
        <v>3.0</v>
      </c>
      <c r="AK10" s="30"/>
      <c r="AL10" s="30"/>
      <c r="AM10" s="30">
        <v>1.0</v>
      </c>
      <c r="AN10" s="31">
        <v>1.0</v>
      </c>
      <c r="AO10" s="30"/>
      <c r="AP10" s="30"/>
      <c r="AQ10" s="30">
        <v>-1.0</v>
      </c>
      <c r="AR10" s="30">
        <v>-1.0</v>
      </c>
      <c r="AS10" s="30">
        <v>1.0</v>
      </c>
      <c r="AT10" s="30">
        <v>2.0</v>
      </c>
      <c r="AU10" s="30"/>
      <c r="AV10" s="30"/>
      <c r="AW10" s="30"/>
      <c r="AX10" s="30"/>
      <c r="AY10" s="18">
        <v>6.0</v>
      </c>
      <c r="AZ10" s="5">
        <f t="shared" si="1"/>
        <v>35</v>
      </c>
      <c r="BA10" s="5">
        <f t="shared" si="2"/>
        <v>15</v>
      </c>
      <c r="BB10" s="5">
        <f t="shared" si="3"/>
        <v>5</v>
      </c>
      <c r="BC10" s="5">
        <f t="shared" si="4"/>
        <v>15</v>
      </c>
      <c r="BD10" s="5">
        <f t="shared" si="5"/>
        <v>50</v>
      </c>
      <c r="BE10" s="5">
        <f t="shared" si="6"/>
        <v>3</v>
      </c>
      <c r="BF10" s="19">
        <f t="shared" si="7"/>
        <v>0.4761904762</v>
      </c>
      <c r="BG10" s="19"/>
    </row>
    <row r="11">
      <c r="A11" s="32" t="s">
        <v>65</v>
      </c>
      <c r="B11" s="25"/>
      <c r="C11" s="26">
        <v>-1.0</v>
      </c>
      <c r="D11" s="26">
        <v>-3.0</v>
      </c>
      <c r="E11" s="26">
        <v>0.0</v>
      </c>
      <c r="F11" s="26">
        <v>-2.0</v>
      </c>
      <c r="G11" s="26">
        <v>-3.0</v>
      </c>
      <c r="H11" s="26">
        <v>3.0</v>
      </c>
      <c r="I11" s="27">
        <v>-2.0</v>
      </c>
      <c r="J11" s="26">
        <v>2.0</v>
      </c>
      <c r="K11" s="25"/>
      <c r="L11" s="26"/>
      <c r="M11" s="26">
        <v>1.0</v>
      </c>
      <c r="N11" s="26">
        <v>-2.0</v>
      </c>
      <c r="O11" s="26">
        <v>-1.0</v>
      </c>
      <c r="P11" s="26"/>
      <c r="Q11" s="27">
        <v>-2.0</v>
      </c>
      <c r="R11" s="26">
        <v>0.0</v>
      </c>
      <c r="S11" s="26">
        <v>-2.0</v>
      </c>
      <c r="T11" s="26">
        <v>3.0</v>
      </c>
      <c r="U11" s="26">
        <v>0.0</v>
      </c>
      <c r="V11" s="26">
        <v>1.0</v>
      </c>
      <c r="W11" s="25"/>
      <c r="X11" s="26">
        <v>2.0</v>
      </c>
      <c r="Y11" s="26">
        <v>1.0</v>
      </c>
      <c r="Z11" s="26">
        <v>2.0</v>
      </c>
      <c r="AA11" s="27">
        <v>3.0</v>
      </c>
      <c r="AB11" s="26">
        <v>-3.0</v>
      </c>
      <c r="AC11" s="26">
        <v>-1.0</v>
      </c>
      <c r="AD11" s="26">
        <v>-5.0</v>
      </c>
      <c r="AE11" s="26">
        <v>0.0</v>
      </c>
      <c r="AF11" s="26">
        <v>1.0</v>
      </c>
      <c r="AG11" s="26">
        <v>0.0</v>
      </c>
      <c r="AH11" s="26"/>
      <c r="AI11" s="26">
        <v>3.0</v>
      </c>
      <c r="AJ11" s="26">
        <v>3.0</v>
      </c>
      <c r="AK11" s="26">
        <v>1.0</v>
      </c>
      <c r="AL11" s="26">
        <v>-1.0</v>
      </c>
      <c r="AM11" s="27">
        <v>-1.0</v>
      </c>
      <c r="AN11" s="26">
        <v>1.0</v>
      </c>
      <c r="AO11" s="26">
        <v>-1.0</v>
      </c>
      <c r="AP11" s="26">
        <v>2.0</v>
      </c>
      <c r="AQ11" s="26"/>
      <c r="AR11" s="26"/>
      <c r="AS11" s="26"/>
      <c r="AT11" s="26">
        <v>-2.0</v>
      </c>
      <c r="AU11" s="26"/>
      <c r="AV11" s="26"/>
      <c r="AW11" s="26"/>
      <c r="AX11" s="26"/>
      <c r="AY11" s="18">
        <v>7.0</v>
      </c>
      <c r="AZ11" s="5">
        <f t="shared" si="1"/>
        <v>36</v>
      </c>
      <c r="BA11" s="5">
        <f t="shared" si="2"/>
        <v>15</v>
      </c>
      <c r="BB11" s="5">
        <f t="shared" si="3"/>
        <v>5</v>
      </c>
      <c r="BC11" s="5">
        <f t="shared" si="4"/>
        <v>16</v>
      </c>
      <c r="BD11" s="5">
        <f t="shared" si="5"/>
        <v>50</v>
      </c>
      <c r="BE11" s="5">
        <f t="shared" si="6"/>
        <v>-3</v>
      </c>
      <c r="BF11" s="19">
        <f t="shared" si="7"/>
        <v>0.462962963</v>
      </c>
      <c r="BG11" s="19"/>
    </row>
    <row r="12">
      <c r="A12" s="32" t="s">
        <v>66</v>
      </c>
      <c r="B12" s="25"/>
      <c r="C12" s="26">
        <v>-1.0</v>
      </c>
      <c r="D12" s="26">
        <v>3.0</v>
      </c>
      <c r="E12" s="26">
        <v>0.0</v>
      </c>
      <c r="F12" s="26">
        <v>2.0</v>
      </c>
      <c r="G12" s="26">
        <v>3.0</v>
      </c>
      <c r="H12" s="26">
        <v>-3.0</v>
      </c>
      <c r="I12" s="26">
        <v>-2.0</v>
      </c>
      <c r="J12" s="27">
        <v>-2.0</v>
      </c>
      <c r="K12" s="25"/>
      <c r="L12" s="26">
        <v>-3.0</v>
      </c>
      <c r="M12" s="26">
        <v>-1.0</v>
      </c>
      <c r="N12" s="26">
        <v>2.0</v>
      </c>
      <c r="O12" s="26">
        <v>-1.0</v>
      </c>
      <c r="P12" s="26">
        <v>-1.0</v>
      </c>
      <c r="Q12" s="26">
        <v>2.0</v>
      </c>
      <c r="R12" s="26"/>
      <c r="S12" s="26"/>
      <c r="T12" s="26">
        <v>-3.0</v>
      </c>
      <c r="U12" s="26">
        <v>0.0</v>
      </c>
      <c r="V12" s="26">
        <v>1.0</v>
      </c>
      <c r="W12" s="25"/>
      <c r="X12" s="27">
        <v>2.0</v>
      </c>
      <c r="Y12" s="26">
        <v>1.0</v>
      </c>
      <c r="Z12" s="26">
        <v>2.0</v>
      </c>
      <c r="AA12" s="26"/>
      <c r="AB12" s="26">
        <v>3.0</v>
      </c>
      <c r="AC12" s="26">
        <v>-1.0</v>
      </c>
      <c r="AD12" s="26">
        <v>5.0</v>
      </c>
      <c r="AE12" s="26">
        <v>0.0</v>
      </c>
      <c r="AF12" s="26">
        <v>1.0</v>
      </c>
      <c r="AG12" s="27">
        <v>0.0</v>
      </c>
      <c r="AH12" s="26">
        <v>2.0</v>
      </c>
      <c r="AI12" s="26">
        <v>-3.0</v>
      </c>
      <c r="AJ12" s="26">
        <v>-3.0</v>
      </c>
      <c r="AK12" s="26">
        <v>1.0</v>
      </c>
      <c r="AL12" s="26">
        <v>-1.0</v>
      </c>
      <c r="AM12" s="26">
        <v>-1.0</v>
      </c>
      <c r="AN12" s="27">
        <v>-1.0</v>
      </c>
      <c r="AO12" s="26"/>
      <c r="AP12" s="26"/>
      <c r="AQ12" s="26"/>
      <c r="AR12" s="26">
        <v>1.0</v>
      </c>
      <c r="AS12" s="26">
        <v>-1.0</v>
      </c>
      <c r="AT12" s="26">
        <v>-2.0</v>
      </c>
      <c r="AU12" s="26"/>
      <c r="AV12" s="26"/>
      <c r="AW12" s="26"/>
      <c r="AX12" s="26"/>
      <c r="AY12" s="18">
        <v>8.0</v>
      </c>
      <c r="AZ12" s="5">
        <f t="shared" si="1"/>
        <v>36</v>
      </c>
      <c r="BA12" s="5">
        <f t="shared" si="2"/>
        <v>15</v>
      </c>
      <c r="BB12" s="5">
        <f t="shared" si="3"/>
        <v>4</v>
      </c>
      <c r="BC12" s="5">
        <f t="shared" si="4"/>
        <v>17</v>
      </c>
      <c r="BD12" s="5">
        <f t="shared" si="5"/>
        <v>49</v>
      </c>
      <c r="BE12" s="5">
        <f t="shared" si="6"/>
        <v>1</v>
      </c>
      <c r="BF12" s="19">
        <f t="shared" si="7"/>
        <v>0.4537037037</v>
      </c>
      <c r="BG12" s="19"/>
    </row>
    <row r="13">
      <c r="A13" s="32" t="s">
        <v>67</v>
      </c>
      <c r="B13" s="25"/>
      <c r="C13" s="26">
        <v>1.0</v>
      </c>
      <c r="D13" s="26">
        <v>3.0</v>
      </c>
      <c r="E13" s="26">
        <v>0.0</v>
      </c>
      <c r="F13" s="27">
        <v>-2.0</v>
      </c>
      <c r="G13" s="26">
        <v>-3.0</v>
      </c>
      <c r="H13" s="26">
        <v>-3.0</v>
      </c>
      <c r="I13" s="26">
        <v>2.0</v>
      </c>
      <c r="J13" s="26">
        <v>-2.0</v>
      </c>
      <c r="K13" s="25"/>
      <c r="L13" s="26"/>
      <c r="M13" s="26">
        <v>-1.0</v>
      </c>
      <c r="N13" s="26">
        <v>2.0</v>
      </c>
      <c r="O13" s="27">
        <v>1.0</v>
      </c>
      <c r="P13" s="26">
        <v>-1.0</v>
      </c>
      <c r="Q13" s="26"/>
      <c r="R13" s="26">
        <v>0.0</v>
      </c>
      <c r="S13" s="26">
        <v>2.0</v>
      </c>
      <c r="T13" s="26">
        <v>-3.0</v>
      </c>
      <c r="U13" s="26"/>
      <c r="V13" s="26"/>
      <c r="W13" s="25"/>
      <c r="X13" s="26">
        <v>-2.0</v>
      </c>
      <c r="Y13" s="26">
        <v>1.0</v>
      </c>
      <c r="Z13" s="26">
        <v>-2.0</v>
      </c>
      <c r="AA13" s="27">
        <v>-3.0</v>
      </c>
      <c r="AB13" s="26">
        <v>3.0</v>
      </c>
      <c r="AC13" s="26">
        <v>-1.0</v>
      </c>
      <c r="AD13" s="26">
        <v>5.0</v>
      </c>
      <c r="AE13" s="26"/>
      <c r="AF13" s="26">
        <v>-1.0</v>
      </c>
      <c r="AG13" s="26">
        <v>0.0</v>
      </c>
      <c r="AH13" s="26">
        <v>2.0</v>
      </c>
      <c r="AI13" s="26">
        <v>3.0</v>
      </c>
      <c r="AJ13" s="27">
        <v>-3.0</v>
      </c>
      <c r="AK13" s="26">
        <v>1.0</v>
      </c>
      <c r="AL13" s="26">
        <v>1.0</v>
      </c>
      <c r="AM13" s="26"/>
      <c r="AN13" s="26">
        <v>-1.0</v>
      </c>
      <c r="AO13" s="26">
        <v>-1.0</v>
      </c>
      <c r="AP13" s="26">
        <v>2.0</v>
      </c>
      <c r="AQ13" s="26">
        <v>1.0</v>
      </c>
      <c r="AR13" s="26"/>
      <c r="AS13" s="26"/>
      <c r="AT13" s="26"/>
      <c r="AU13" s="26"/>
      <c r="AV13" s="26"/>
      <c r="AW13" s="26"/>
      <c r="AX13" s="26"/>
      <c r="AY13" s="18">
        <v>9.0</v>
      </c>
      <c r="AZ13" s="5">
        <f t="shared" si="1"/>
        <v>33</v>
      </c>
      <c r="BA13" s="5">
        <f t="shared" si="2"/>
        <v>15</v>
      </c>
      <c r="BB13" s="5">
        <f t="shared" si="3"/>
        <v>3</v>
      </c>
      <c r="BC13" s="5">
        <f t="shared" si="4"/>
        <v>15</v>
      </c>
      <c r="BD13" s="5">
        <f t="shared" si="5"/>
        <v>48</v>
      </c>
      <c r="BE13" s="5">
        <f t="shared" si="6"/>
        <v>1</v>
      </c>
      <c r="BF13" s="19">
        <f t="shared" si="7"/>
        <v>0.4848484848</v>
      </c>
      <c r="BG13" s="19"/>
    </row>
    <row r="14">
      <c r="A14" s="32" t="s">
        <v>68</v>
      </c>
      <c r="B14" s="25"/>
      <c r="C14" s="26">
        <v>1.0</v>
      </c>
      <c r="D14" s="26">
        <v>-3.0</v>
      </c>
      <c r="E14" s="26">
        <v>0.0</v>
      </c>
      <c r="F14" s="26">
        <v>2.0</v>
      </c>
      <c r="G14" s="26">
        <v>3.0</v>
      </c>
      <c r="H14" s="27">
        <v>-3.0</v>
      </c>
      <c r="I14" s="26">
        <v>-2.0</v>
      </c>
      <c r="J14" s="26"/>
      <c r="K14" s="25"/>
      <c r="L14" s="26">
        <v>3.0</v>
      </c>
      <c r="M14" s="26">
        <v>-1.0</v>
      </c>
      <c r="N14" s="26"/>
      <c r="O14" s="26">
        <v>1.0</v>
      </c>
      <c r="P14" s="26">
        <v>-1.0</v>
      </c>
      <c r="Q14" s="26"/>
      <c r="R14" s="26">
        <v>0.0</v>
      </c>
      <c r="S14" s="27">
        <v>2.0</v>
      </c>
      <c r="T14" s="26">
        <v>-3.0</v>
      </c>
      <c r="U14" s="26">
        <v>0.0</v>
      </c>
      <c r="V14" s="26">
        <v>-1.0</v>
      </c>
      <c r="W14" s="25"/>
      <c r="X14" s="26"/>
      <c r="Y14" s="26"/>
      <c r="Z14" s="26">
        <v>-2.0</v>
      </c>
      <c r="AA14" s="26">
        <v>3.0</v>
      </c>
      <c r="AB14" s="26"/>
      <c r="AC14" s="26">
        <v>1.0</v>
      </c>
      <c r="AD14" s="26">
        <v>5.0</v>
      </c>
      <c r="AE14" s="26">
        <v>0.0</v>
      </c>
      <c r="AF14" s="26"/>
      <c r="AG14" s="27">
        <v>0.0</v>
      </c>
      <c r="AH14" s="26">
        <v>2.0</v>
      </c>
      <c r="AI14" s="26">
        <v>-3.0</v>
      </c>
      <c r="AJ14" s="26">
        <v>-3.0</v>
      </c>
      <c r="AK14" s="26">
        <v>-1.0</v>
      </c>
      <c r="AL14" s="26"/>
      <c r="AM14" s="26">
        <v>1.0</v>
      </c>
      <c r="AN14" s="26">
        <v>-1.0</v>
      </c>
      <c r="AO14" s="26">
        <v>1.0</v>
      </c>
      <c r="AP14" s="27">
        <v>2.0</v>
      </c>
      <c r="AQ14" s="26">
        <v>-1.0</v>
      </c>
      <c r="AR14" s="26">
        <v>-1.0</v>
      </c>
      <c r="AS14" s="26">
        <v>-1.0</v>
      </c>
      <c r="AT14" s="26">
        <v>2.0</v>
      </c>
      <c r="AU14" s="26"/>
      <c r="AV14" s="26"/>
      <c r="AW14" s="26"/>
      <c r="AX14" s="26"/>
      <c r="AY14" s="18">
        <v>10.0</v>
      </c>
      <c r="AZ14" s="5">
        <f t="shared" si="1"/>
        <v>34</v>
      </c>
      <c r="BA14" s="5">
        <f t="shared" si="2"/>
        <v>14</v>
      </c>
      <c r="BB14" s="5">
        <f t="shared" si="3"/>
        <v>5</v>
      </c>
      <c r="BC14" s="5">
        <f t="shared" si="4"/>
        <v>15</v>
      </c>
      <c r="BD14" s="5">
        <f t="shared" si="5"/>
        <v>47</v>
      </c>
      <c r="BE14" s="5">
        <f t="shared" si="6"/>
        <v>2</v>
      </c>
      <c r="BF14" s="19">
        <f t="shared" si="7"/>
        <v>0.4607843137</v>
      </c>
      <c r="BG14" s="19"/>
    </row>
    <row r="15">
      <c r="A15" s="32" t="s">
        <v>69</v>
      </c>
      <c r="B15" s="25"/>
      <c r="C15" s="27">
        <v>-1.0</v>
      </c>
      <c r="D15" s="26">
        <v>3.0</v>
      </c>
      <c r="E15" s="26">
        <v>0.0</v>
      </c>
      <c r="F15" s="26">
        <v>2.0</v>
      </c>
      <c r="G15" s="26">
        <v>3.0</v>
      </c>
      <c r="H15" s="26">
        <v>-3.0</v>
      </c>
      <c r="I15" s="26">
        <v>2.0</v>
      </c>
      <c r="J15" s="26">
        <v>-2.0</v>
      </c>
      <c r="K15" s="25"/>
      <c r="L15" s="26">
        <v>3.0</v>
      </c>
      <c r="M15" s="26"/>
      <c r="N15" s="26">
        <v>-2.0</v>
      </c>
      <c r="O15" s="26">
        <v>1.0</v>
      </c>
      <c r="P15" s="26">
        <v>1.0</v>
      </c>
      <c r="Q15" s="26">
        <v>2.0</v>
      </c>
      <c r="R15" s="26">
        <v>0.0</v>
      </c>
      <c r="S15" s="26">
        <v>-2.0</v>
      </c>
      <c r="T15" s="26">
        <v>-3.0</v>
      </c>
      <c r="U15" s="26">
        <v>0.0</v>
      </c>
      <c r="V15" s="27">
        <v>1.0</v>
      </c>
      <c r="W15" s="25"/>
      <c r="X15" s="26">
        <v>-2.0</v>
      </c>
      <c r="Y15" s="26"/>
      <c r="Z15" s="26"/>
      <c r="AA15" s="26"/>
      <c r="AB15" s="26"/>
      <c r="AC15" s="26"/>
      <c r="AD15" s="26"/>
      <c r="AE15" s="26">
        <v>0.0</v>
      </c>
      <c r="AF15" s="27">
        <v>-1.0</v>
      </c>
      <c r="AG15" s="26"/>
      <c r="AH15" s="26">
        <v>-2.0</v>
      </c>
      <c r="AI15" s="26">
        <v>3.0</v>
      </c>
      <c r="AJ15" s="26">
        <v>-3.0</v>
      </c>
      <c r="AK15" s="26">
        <v>-1.0</v>
      </c>
      <c r="AL15" s="26">
        <v>-1.0</v>
      </c>
      <c r="AM15" s="26">
        <v>1.0</v>
      </c>
      <c r="AN15" s="26">
        <v>-1.0</v>
      </c>
      <c r="AO15" s="26">
        <v>1.0</v>
      </c>
      <c r="AP15" s="27">
        <v>-2.0</v>
      </c>
      <c r="AQ15" s="26">
        <v>1.0</v>
      </c>
      <c r="AR15" s="27">
        <v>1.0</v>
      </c>
      <c r="AS15" s="26">
        <v>-1.0</v>
      </c>
      <c r="AT15" s="26"/>
      <c r="AU15" s="26"/>
      <c r="AV15" s="26"/>
      <c r="AW15" s="26"/>
      <c r="AX15" s="26"/>
      <c r="AY15" s="18">
        <v>11.0</v>
      </c>
      <c r="AZ15" s="5">
        <f t="shared" si="1"/>
        <v>33</v>
      </c>
      <c r="BA15" s="5">
        <f t="shared" si="2"/>
        <v>14</v>
      </c>
      <c r="BB15" s="5">
        <f t="shared" si="3"/>
        <v>4</v>
      </c>
      <c r="BC15" s="5">
        <f t="shared" si="4"/>
        <v>15</v>
      </c>
      <c r="BD15" s="5">
        <f t="shared" si="5"/>
        <v>46</v>
      </c>
      <c r="BE15" s="5">
        <f t="shared" si="6"/>
        <v>-2</v>
      </c>
      <c r="BF15" s="19">
        <f t="shared" si="7"/>
        <v>0.4646464646</v>
      </c>
      <c r="BG15" s="19"/>
    </row>
    <row r="16">
      <c r="A16" s="32" t="s">
        <v>70</v>
      </c>
      <c r="B16" s="25"/>
      <c r="C16" s="26">
        <v>1.0</v>
      </c>
      <c r="D16" s="27">
        <v>3.0</v>
      </c>
      <c r="E16" s="26">
        <v>0.0</v>
      </c>
      <c r="F16" s="26">
        <v>-2.0</v>
      </c>
      <c r="G16" s="26">
        <v>-3.0</v>
      </c>
      <c r="H16" s="26">
        <v>-3.0</v>
      </c>
      <c r="I16" s="26">
        <v>2.0</v>
      </c>
      <c r="J16" s="26">
        <v>2.0</v>
      </c>
      <c r="K16" s="25"/>
      <c r="L16" s="26">
        <v>-3.0</v>
      </c>
      <c r="M16" s="27">
        <v>-1.0</v>
      </c>
      <c r="N16" s="26">
        <v>-2.0</v>
      </c>
      <c r="O16" s="26">
        <v>-1.0</v>
      </c>
      <c r="P16" s="26">
        <v>-1.0</v>
      </c>
      <c r="Q16" s="26">
        <v>2.0</v>
      </c>
      <c r="R16" s="26">
        <v>0.0</v>
      </c>
      <c r="S16" s="26"/>
      <c r="T16" s="26">
        <v>-3.0</v>
      </c>
      <c r="U16" s="26">
        <v>0.0</v>
      </c>
      <c r="V16" s="26">
        <v>-1.0</v>
      </c>
      <c r="W16" s="25"/>
      <c r="X16" s="26">
        <v>-2.0</v>
      </c>
      <c r="Y16" s="26"/>
      <c r="Z16" s="26">
        <v>-2.0</v>
      </c>
      <c r="AA16" s="26"/>
      <c r="AB16" s="26"/>
      <c r="AC16" s="27">
        <v>1.0</v>
      </c>
      <c r="AD16" s="26">
        <v>5.0</v>
      </c>
      <c r="AE16" s="26">
        <v>0.0</v>
      </c>
      <c r="AF16" s="26">
        <v>1.0</v>
      </c>
      <c r="AG16" s="26">
        <v>0.0</v>
      </c>
      <c r="AH16" s="26">
        <v>-2.0</v>
      </c>
      <c r="AI16" s="27">
        <v>-3.0</v>
      </c>
      <c r="AJ16" s="26">
        <v>-3.0</v>
      </c>
      <c r="AK16" s="26">
        <v>-1.0</v>
      </c>
      <c r="AL16" s="26">
        <v>1.0</v>
      </c>
      <c r="AM16" s="26">
        <v>1.0</v>
      </c>
      <c r="AN16" s="26">
        <v>-1.0</v>
      </c>
      <c r="AO16" s="26">
        <v>1.0</v>
      </c>
      <c r="AP16" s="26">
        <v>2.0</v>
      </c>
      <c r="AQ16" s="26">
        <v>1.0</v>
      </c>
      <c r="AR16" s="26"/>
      <c r="AS16" s="26">
        <v>-1.0</v>
      </c>
      <c r="AT16" s="26">
        <v>-2.0</v>
      </c>
      <c r="AU16" s="26"/>
      <c r="AV16" s="26"/>
      <c r="AW16" s="26"/>
      <c r="AX16" s="26"/>
      <c r="AY16" s="18">
        <v>12.0</v>
      </c>
      <c r="AZ16" s="5">
        <f t="shared" si="1"/>
        <v>37</v>
      </c>
      <c r="BA16" s="5">
        <f t="shared" si="2"/>
        <v>13</v>
      </c>
      <c r="BB16" s="5">
        <f t="shared" si="3"/>
        <v>5</v>
      </c>
      <c r="BC16" s="5">
        <f t="shared" si="4"/>
        <v>19</v>
      </c>
      <c r="BD16" s="5">
        <f t="shared" si="5"/>
        <v>44</v>
      </c>
      <c r="BE16" s="5">
        <f t="shared" si="6"/>
        <v>-14</v>
      </c>
      <c r="BF16" s="19">
        <f t="shared" si="7"/>
        <v>0.3963963964</v>
      </c>
      <c r="BG16" s="19"/>
    </row>
    <row r="17">
      <c r="A17" s="32" t="s">
        <v>71</v>
      </c>
      <c r="B17" s="25"/>
      <c r="C17" s="26">
        <v>1.0</v>
      </c>
      <c r="D17" s="26">
        <v>-3.0</v>
      </c>
      <c r="E17" s="26"/>
      <c r="F17" s="26">
        <v>2.0</v>
      </c>
      <c r="G17" s="26">
        <v>-3.0</v>
      </c>
      <c r="H17" s="26">
        <v>3.0</v>
      </c>
      <c r="I17" s="26">
        <v>2.0</v>
      </c>
      <c r="J17" s="27">
        <v>2.0</v>
      </c>
      <c r="K17" s="25"/>
      <c r="L17" s="26">
        <v>3.0</v>
      </c>
      <c r="M17" s="26">
        <v>1.0</v>
      </c>
      <c r="N17" s="26">
        <v>2.0</v>
      </c>
      <c r="O17" s="26">
        <v>-1.0</v>
      </c>
      <c r="P17" s="26">
        <v>1.0</v>
      </c>
      <c r="Q17" s="26">
        <v>-2.0</v>
      </c>
      <c r="R17" s="26">
        <v>0.0</v>
      </c>
      <c r="S17" s="26"/>
      <c r="T17" s="26"/>
      <c r="U17" s="27">
        <v>0.0</v>
      </c>
      <c r="V17" s="26"/>
      <c r="W17" s="25"/>
      <c r="X17" s="26">
        <v>-2.0</v>
      </c>
      <c r="Y17" s="26">
        <v>-1.0</v>
      </c>
      <c r="Z17" s="26"/>
      <c r="AA17" s="26">
        <v>-3.0</v>
      </c>
      <c r="AB17" s="26">
        <v>-3.0</v>
      </c>
      <c r="AC17" s="26">
        <v>1.0</v>
      </c>
      <c r="AD17" s="26">
        <v>5.0</v>
      </c>
      <c r="AE17" s="26"/>
      <c r="AF17" s="26">
        <v>-1.0</v>
      </c>
      <c r="AG17" s="26">
        <v>0.0</v>
      </c>
      <c r="AH17" s="27">
        <v>-2.0</v>
      </c>
      <c r="AI17" s="26">
        <v>3.0</v>
      </c>
      <c r="AJ17" s="26">
        <v>3.0</v>
      </c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18">
        <v>13.0</v>
      </c>
      <c r="AZ17" s="5">
        <f t="shared" si="1"/>
        <v>26</v>
      </c>
      <c r="BA17" s="5">
        <f t="shared" si="2"/>
        <v>13</v>
      </c>
      <c r="BB17" s="5">
        <f t="shared" si="3"/>
        <v>3</v>
      </c>
      <c r="BC17" s="5">
        <f t="shared" si="4"/>
        <v>10</v>
      </c>
      <c r="BD17" s="5">
        <f t="shared" si="5"/>
        <v>42</v>
      </c>
      <c r="BE17" s="5">
        <f t="shared" si="6"/>
        <v>8</v>
      </c>
      <c r="BF17" s="19">
        <f t="shared" si="7"/>
        <v>0.5384615385</v>
      </c>
      <c r="BG17" s="19"/>
    </row>
    <row r="18">
      <c r="A18" s="32" t="s">
        <v>72</v>
      </c>
      <c r="B18" s="25"/>
      <c r="C18" s="26">
        <v>1.0</v>
      </c>
      <c r="D18" s="26">
        <v>-3.0</v>
      </c>
      <c r="E18" s="26">
        <v>0.0</v>
      </c>
      <c r="F18" s="26"/>
      <c r="G18" s="26">
        <v>3.0</v>
      </c>
      <c r="H18" s="26">
        <v>-3.0</v>
      </c>
      <c r="I18" s="27">
        <v>2.0</v>
      </c>
      <c r="J18" s="26">
        <v>-2.0</v>
      </c>
      <c r="K18" s="25"/>
      <c r="L18" s="26">
        <v>-3.0</v>
      </c>
      <c r="M18" s="26">
        <v>-1.0</v>
      </c>
      <c r="N18" s="26"/>
      <c r="O18" s="26"/>
      <c r="P18" s="26"/>
      <c r="Q18" s="27">
        <v>2.0</v>
      </c>
      <c r="R18" s="26"/>
      <c r="S18" s="26">
        <v>2.0</v>
      </c>
      <c r="T18" s="26">
        <v>-3.0</v>
      </c>
      <c r="U18" s="26">
        <v>0.0</v>
      </c>
      <c r="V18" s="26">
        <v>-1.0</v>
      </c>
      <c r="W18" s="25"/>
      <c r="X18" s="26">
        <v>-2.0</v>
      </c>
      <c r="Y18" s="26">
        <v>-1.0</v>
      </c>
      <c r="Z18" s="26">
        <v>2.0</v>
      </c>
      <c r="AA18" s="26">
        <v>3.0</v>
      </c>
      <c r="AB18" s="26">
        <v>3.0</v>
      </c>
      <c r="AC18" s="26"/>
      <c r="AD18" s="26"/>
      <c r="AE18" s="26">
        <v>0.0</v>
      </c>
      <c r="AF18" s="26"/>
      <c r="AG18" s="26"/>
      <c r="AH18" s="26"/>
      <c r="AI18" s="26"/>
      <c r="AJ18" s="26">
        <v>3.0</v>
      </c>
      <c r="AK18" s="27">
        <v>1.0</v>
      </c>
      <c r="AL18" s="26">
        <v>1.0</v>
      </c>
      <c r="AM18" s="26">
        <v>1.0</v>
      </c>
      <c r="AN18" s="26">
        <v>-1.0</v>
      </c>
      <c r="AO18" s="26">
        <v>1.0</v>
      </c>
      <c r="AP18" s="26">
        <v>-2.0</v>
      </c>
      <c r="AQ18" s="26">
        <v>-1.0</v>
      </c>
      <c r="AR18" s="26"/>
      <c r="AS18" s="26"/>
      <c r="AT18" s="26"/>
      <c r="AU18" s="26"/>
      <c r="AV18" s="26"/>
      <c r="AW18" s="26"/>
      <c r="AX18" s="26"/>
      <c r="AY18" s="18">
        <v>14.0</v>
      </c>
      <c r="AZ18" s="5">
        <f t="shared" si="1"/>
        <v>28</v>
      </c>
      <c r="BA18" s="5">
        <f t="shared" si="2"/>
        <v>13</v>
      </c>
      <c r="BB18" s="5">
        <f t="shared" si="3"/>
        <v>3</v>
      </c>
      <c r="BC18" s="5">
        <f t="shared" si="4"/>
        <v>12</v>
      </c>
      <c r="BD18" s="5">
        <f t="shared" si="5"/>
        <v>42</v>
      </c>
      <c r="BE18" s="5">
        <f t="shared" si="6"/>
        <v>2</v>
      </c>
      <c r="BF18" s="19">
        <f t="shared" si="7"/>
        <v>0.5</v>
      </c>
      <c r="BG18" s="19"/>
    </row>
    <row r="19">
      <c r="A19" s="32" t="s">
        <v>73</v>
      </c>
      <c r="B19" s="25"/>
      <c r="C19" s="26">
        <v>-1.0</v>
      </c>
      <c r="D19" s="26">
        <v>-3.0</v>
      </c>
      <c r="E19" s="26"/>
      <c r="F19" s="26">
        <v>-2.0</v>
      </c>
      <c r="G19" s="26">
        <v>3.0</v>
      </c>
      <c r="H19" s="26"/>
      <c r="I19" s="26">
        <v>-2.0</v>
      </c>
      <c r="J19" s="26">
        <v>2.0</v>
      </c>
      <c r="K19" s="25"/>
      <c r="L19" s="26"/>
      <c r="M19" s="27">
        <v>1.0</v>
      </c>
      <c r="N19" s="26">
        <v>2.0</v>
      </c>
      <c r="O19" s="26">
        <v>-1.0</v>
      </c>
      <c r="P19" s="26">
        <v>1.0</v>
      </c>
      <c r="Q19" s="26">
        <v>-2.0</v>
      </c>
      <c r="R19" s="26">
        <v>0.0</v>
      </c>
      <c r="S19" s="26">
        <v>2.0</v>
      </c>
      <c r="T19" s="26">
        <v>3.0</v>
      </c>
      <c r="U19" s="26">
        <v>0.0</v>
      </c>
      <c r="V19" s="27">
        <v>-1.0</v>
      </c>
      <c r="W19" s="25"/>
      <c r="X19" s="26">
        <v>2.0</v>
      </c>
      <c r="Y19" s="26">
        <v>-1.0</v>
      </c>
      <c r="Z19" s="26">
        <v>-2.0</v>
      </c>
      <c r="AA19" s="26">
        <v>-3.0</v>
      </c>
      <c r="AB19" s="27">
        <v>-3.0</v>
      </c>
      <c r="AC19" s="26">
        <v>1.0</v>
      </c>
      <c r="AD19" s="26"/>
      <c r="AE19" s="26"/>
      <c r="AF19" s="26">
        <v>-1.0</v>
      </c>
      <c r="AG19" s="26">
        <v>0.0</v>
      </c>
      <c r="AH19" s="26">
        <v>-2.0</v>
      </c>
      <c r="AI19" s="26"/>
      <c r="AJ19" s="26">
        <v>3.0</v>
      </c>
      <c r="AK19" s="26">
        <v>-1.0</v>
      </c>
      <c r="AL19" s="26">
        <v>-1.0</v>
      </c>
      <c r="AM19" s="26">
        <v>-1.0</v>
      </c>
      <c r="AN19" s="26">
        <v>-1.0</v>
      </c>
      <c r="AO19" s="27">
        <v>1.0</v>
      </c>
      <c r="AP19" s="26"/>
      <c r="AQ19" s="26">
        <v>-1.0</v>
      </c>
      <c r="AR19" s="26"/>
      <c r="AS19" s="26">
        <v>1.0</v>
      </c>
      <c r="AT19" s="26">
        <v>2.0</v>
      </c>
      <c r="AU19" s="26"/>
      <c r="AV19" s="26"/>
      <c r="AW19" s="26"/>
      <c r="AX19" s="26"/>
      <c r="AY19" s="18">
        <v>15.0</v>
      </c>
      <c r="AZ19" s="5">
        <f t="shared" si="1"/>
        <v>34</v>
      </c>
      <c r="BA19" s="5">
        <f t="shared" si="2"/>
        <v>13</v>
      </c>
      <c r="BB19" s="5">
        <f t="shared" si="3"/>
        <v>3</v>
      </c>
      <c r="BC19" s="5">
        <f t="shared" si="4"/>
        <v>18</v>
      </c>
      <c r="BD19" s="5">
        <f t="shared" si="5"/>
        <v>42</v>
      </c>
      <c r="BE19" s="5">
        <f t="shared" si="6"/>
        <v>-5</v>
      </c>
      <c r="BF19" s="19">
        <f t="shared" si="7"/>
        <v>0.4117647059</v>
      </c>
      <c r="BG19" s="19"/>
    </row>
    <row r="20">
      <c r="A20" s="32" t="s">
        <v>74</v>
      </c>
      <c r="B20" s="25"/>
      <c r="C20" s="26">
        <v>-1.0</v>
      </c>
      <c r="D20" s="26">
        <v>-3.0</v>
      </c>
      <c r="E20" s="26"/>
      <c r="F20" s="26"/>
      <c r="G20" s="26"/>
      <c r="H20" s="27">
        <v>3.0</v>
      </c>
      <c r="I20" s="26">
        <v>-2.0</v>
      </c>
      <c r="J20" s="26">
        <v>2.0</v>
      </c>
      <c r="K20" s="25"/>
      <c r="L20" s="26">
        <v>3.0</v>
      </c>
      <c r="M20" s="26">
        <v>-1.0</v>
      </c>
      <c r="N20" s="26">
        <v>-2.0</v>
      </c>
      <c r="O20" s="26">
        <v>1.0</v>
      </c>
      <c r="P20" s="26">
        <v>-1.0</v>
      </c>
      <c r="Q20" s="26">
        <v>2.0</v>
      </c>
      <c r="R20" s="26"/>
      <c r="S20" s="26">
        <v>2.0</v>
      </c>
      <c r="T20" s="26">
        <v>-3.0</v>
      </c>
      <c r="U20" s="26"/>
      <c r="V20" s="26">
        <v>-1.0</v>
      </c>
      <c r="W20" s="25"/>
      <c r="X20" s="26">
        <v>2.0</v>
      </c>
      <c r="Y20" s="27">
        <v>1.0</v>
      </c>
      <c r="Z20" s="26">
        <v>2.0</v>
      </c>
      <c r="AA20" s="26">
        <v>-3.0</v>
      </c>
      <c r="AB20" s="26"/>
      <c r="AC20" s="26"/>
      <c r="AD20" s="26"/>
      <c r="AE20" s="26">
        <v>0.0</v>
      </c>
      <c r="AF20" s="26"/>
      <c r="AG20" s="26"/>
      <c r="AH20" s="26"/>
      <c r="AI20" s="27">
        <v>3.0</v>
      </c>
      <c r="AJ20" s="26"/>
      <c r="AK20" s="26"/>
      <c r="AL20" s="26">
        <v>1.0</v>
      </c>
      <c r="AM20" s="26">
        <v>-1.0</v>
      </c>
      <c r="AN20" s="26">
        <v>1.0</v>
      </c>
      <c r="AO20" s="26"/>
      <c r="AP20" s="26"/>
      <c r="AQ20" s="26"/>
      <c r="AR20" s="26">
        <v>1.0</v>
      </c>
      <c r="AS20" s="26">
        <v>-1.0</v>
      </c>
      <c r="AT20" s="26"/>
      <c r="AU20" s="26"/>
      <c r="AV20" s="26"/>
      <c r="AW20" s="26"/>
      <c r="AX20" s="26"/>
      <c r="AY20" s="18">
        <v>16.0</v>
      </c>
      <c r="AZ20" s="5">
        <f t="shared" si="1"/>
        <v>25</v>
      </c>
      <c r="BA20" s="5">
        <f t="shared" si="2"/>
        <v>13</v>
      </c>
      <c r="BB20" s="5">
        <f t="shared" si="3"/>
        <v>1</v>
      </c>
      <c r="BC20" s="5">
        <f t="shared" si="4"/>
        <v>11</v>
      </c>
      <c r="BD20" s="5">
        <f t="shared" si="5"/>
        <v>40</v>
      </c>
      <c r="BE20" s="5">
        <f t="shared" si="6"/>
        <v>5</v>
      </c>
      <c r="BF20" s="19">
        <f t="shared" si="7"/>
        <v>0.5333333333</v>
      </c>
      <c r="BG20" s="19"/>
    </row>
    <row r="21" ht="15.75" customHeight="1">
      <c r="A21" s="32" t="s">
        <v>75</v>
      </c>
      <c r="B21" s="25"/>
      <c r="C21" s="27">
        <v>1.0</v>
      </c>
      <c r="D21" s="26">
        <v>3.0</v>
      </c>
      <c r="E21" s="26">
        <v>0.0</v>
      </c>
      <c r="F21" s="26">
        <v>-2.0</v>
      </c>
      <c r="G21" s="26"/>
      <c r="H21" s="26">
        <v>-3.0</v>
      </c>
      <c r="I21" s="26">
        <v>2.0</v>
      </c>
      <c r="J21" s="26">
        <v>2.0</v>
      </c>
      <c r="K21" s="25"/>
      <c r="L21" s="26">
        <v>3.0</v>
      </c>
      <c r="M21" s="26">
        <v>1.0</v>
      </c>
      <c r="N21" s="26">
        <v>2.0</v>
      </c>
      <c r="O21" s="26"/>
      <c r="P21" s="27">
        <v>-1.0</v>
      </c>
      <c r="Q21" s="26">
        <v>-2.0</v>
      </c>
      <c r="R21" s="26">
        <v>0.0</v>
      </c>
      <c r="S21" s="26">
        <v>2.0</v>
      </c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>
        <v>5.0</v>
      </c>
      <c r="AE21" s="26"/>
      <c r="AF21" s="26">
        <v>-1.0</v>
      </c>
      <c r="AG21" s="26"/>
      <c r="AH21" s="26"/>
      <c r="AI21" s="26">
        <v>-3.0</v>
      </c>
      <c r="AJ21" s="26"/>
      <c r="AK21" s="26"/>
      <c r="AL21" s="26"/>
      <c r="AM21" s="26"/>
      <c r="AN21" s="26"/>
      <c r="AO21" s="26">
        <v>1.0</v>
      </c>
      <c r="AP21" s="26">
        <v>-2.0</v>
      </c>
      <c r="AQ21" s="26"/>
      <c r="AR21" s="26"/>
      <c r="AS21" s="26"/>
      <c r="AT21" s="27">
        <v>-2.0</v>
      </c>
      <c r="AU21" s="26"/>
      <c r="AV21" s="26"/>
      <c r="AW21" s="26"/>
      <c r="AX21" s="26"/>
      <c r="AY21" s="18">
        <v>17.0</v>
      </c>
      <c r="AZ21" s="5">
        <f t="shared" si="1"/>
        <v>20</v>
      </c>
      <c r="BA21" s="5">
        <f t="shared" si="2"/>
        <v>10</v>
      </c>
      <c r="BB21" s="5">
        <f t="shared" si="3"/>
        <v>2</v>
      </c>
      <c r="BC21" s="5">
        <f t="shared" si="4"/>
        <v>8</v>
      </c>
      <c r="BD21" s="5">
        <f t="shared" si="5"/>
        <v>32</v>
      </c>
      <c r="BE21" s="5">
        <f t="shared" si="6"/>
        <v>6</v>
      </c>
      <c r="BF21" s="19">
        <f t="shared" si="7"/>
        <v>0.5333333333</v>
      </c>
      <c r="BG21" s="19"/>
    </row>
    <row r="22" ht="15.75" customHeight="1">
      <c r="A22" s="32" t="s">
        <v>76</v>
      </c>
      <c r="B22" s="25"/>
      <c r="C22" s="26"/>
      <c r="D22" s="26"/>
      <c r="E22" s="26"/>
      <c r="F22" s="26"/>
      <c r="G22" s="26"/>
      <c r="H22" s="26"/>
      <c r="I22" s="26"/>
      <c r="J22" s="26"/>
      <c r="K22" s="25"/>
      <c r="L22" s="26"/>
      <c r="M22" s="26"/>
      <c r="N22" s="26"/>
      <c r="O22" s="26">
        <v>1.0</v>
      </c>
      <c r="P22" s="26"/>
      <c r="Q22" s="26">
        <v>-2.0</v>
      </c>
      <c r="R22" s="26">
        <v>0.0</v>
      </c>
      <c r="S22" s="26"/>
      <c r="T22" s="26"/>
      <c r="U22" s="26"/>
      <c r="V22" s="26"/>
      <c r="W22" s="25"/>
      <c r="X22" s="26"/>
      <c r="Y22" s="26">
        <v>-1.0</v>
      </c>
      <c r="Z22" s="26">
        <v>2.0</v>
      </c>
      <c r="AA22" s="26">
        <v>-3.0</v>
      </c>
      <c r="AB22" s="26">
        <v>3.0</v>
      </c>
      <c r="AC22" s="26"/>
      <c r="AD22" s="27">
        <v>5.0</v>
      </c>
      <c r="AE22" s="26">
        <v>0.0</v>
      </c>
      <c r="AF22" s="26">
        <v>1.0</v>
      </c>
      <c r="AG22" s="26"/>
      <c r="AH22" s="26">
        <v>-2.0</v>
      </c>
      <c r="AI22" s="26">
        <v>3.0</v>
      </c>
      <c r="AJ22" s="26"/>
      <c r="AK22" s="26"/>
      <c r="AL22" s="26">
        <v>1.0</v>
      </c>
      <c r="AM22" s="26">
        <v>-1.0</v>
      </c>
      <c r="AN22" s="26">
        <v>-1.0</v>
      </c>
      <c r="AO22" s="26">
        <v>-1.0</v>
      </c>
      <c r="AP22" s="26"/>
      <c r="AQ22" s="27">
        <v>1.0</v>
      </c>
      <c r="AR22" s="26">
        <v>-1.0</v>
      </c>
      <c r="AS22" s="26">
        <v>1.0</v>
      </c>
      <c r="AT22" s="26"/>
      <c r="AU22" s="26"/>
      <c r="AV22" s="26"/>
      <c r="AW22" s="26"/>
      <c r="AX22" s="26"/>
      <c r="AY22" s="18">
        <v>18.0</v>
      </c>
      <c r="AZ22" s="5">
        <f t="shared" si="1"/>
        <v>19</v>
      </c>
      <c r="BA22" s="5">
        <f t="shared" si="2"/>
        <v>9</v>
      </c>
      <c r="BB22" s="5">
        <f t="shared" si="3"/>
        <v>2</v>
      </c>
      <c r="BC22" s="5">
        <f t="shared" si="4"/>
        <v>8</v>
      </c>
      <c r="BD22" s="5">
        <f t="shared" si="5"/>
        <v>29</v>
      </c>
      <c r="BE22" s="5">
        <f t="shared" si="6"/>
        <v>6</v>
      </c>
      <c r="BF22" s="19">
        <f t="shared" si="7"/>
        <v>0.5087719298</v>
      </c>
      <c r="BG22" s="19"/>
    </row>
    <row r="23" ht="15.75" customHeight="1">
      <c r="A23" s="32" t="s">
        <v>77</v>
      </c>
      <c r="B23" s="25"/>
      <c r="C23" s="26"/>
      <c r="D23" s="26"/>
      <c r="E23" s="26"/>
      <c r="F23" s="26"/>
      <c r="G23" s="26"/>
      <c r="H23" s="26"/>
      <c r="I23" s="26"/>
      <c r="J23" s="26"/>
      <c r="K23" s="25"/>
      <c r="L23" s="26"/>
      <c r="M23" s="26"/>
      <c r="N23" s="26"/>
      <c r="O23" s="26">
        <v>1.0</v>
      </c>
      <c r="P23" s="26">
        <v>1.0</v>
      </c>
      <c r="Q23" s="26">
        <v>-2.0</v>
      </c>
      <c r="R23" s="26"/>
      <c r="S23" s="26">
        <v>-2.0</v>
      </c>
      <c r="T23" s="26"/>
      <c r="U23" s="26"/>
      <c r="V23" s="26"/>
      <c r="W23" s="25"/>
      <c r="X23" s="26"/>
      <c r="Y23" s="26">
        <v>-1.0</v>
      </c>
      <c r="Z23" s="27">
        <v>2.0</v>
      </c>
      <c r="AA23" s="26">
        <v>3.0</v>
      </c>
      <c r="AB23" s="26">
        <v>-3.0</v>
      </c>
      <c r="AC23" s="26"/>
      <c r="AD23" s="26">
        <v>-5.0</v>
      </c>
      <c r="AE23" s="26"/>
      <c r="AF23" s="26"/>
      <c r="AG23" s="26">
        <v>0.0</v>
      </c>
      <c r="AH23" s="26">
        <v>2.0</v>
      </c>
      <c r="AI23" s="26"/>
      <c r="AJ23" s="26"/>
      <c r="AK23" s="26">
        <v>1.0</v>
      </c>
      <c r="AL23" s="26"/>
      <c r="AM23" s="26"/>
      <c r="AN23" s="26">
        <v>1.0</v>
      </c>
      <c r="AO23" s="26">
        <v>-1.0</v>
      </c>
      <c r="AP23" s="26"/>
      <c r="AQ23" s="26"/>
      <c r="AR23" s="26"/>
      <c r="AS23" s="27">
        <v>1.0</v>
      </c>
      <c r="AT23" s="26">
        <v>2.0</v>
      </c>
      <c r="AU23" s="26"/>
      <c r="AV23" s="26"/>
      <c r="AW23" s="26"/>
      <c r="AX23" s="26"/>
      <c r="AY23" s="18">
        <v>19.0</v>
      </c>
      <c r="AZ23" s="5">
        <f t="shared" si="1"/>
        <v>16</v>
      </c>
      <c r="BA23" s="5">
        <f t="shared" si="2"/>
        <v>9</v>
      </c>
      <c r="BB23" s="5">
        <f t="shared" si="3"/>
        <v>1</v>
      </c>
      <c r="BC23" s="5">
        <f t="shared" si="4"/>
        <v>6</v>
      </c>
      <c r="BD23" s="5">
        <f t="shared" si="5"/>
        <v>28</v>
      </c>
      <c r="BE23" s="5">
        <f t="shared" si="6"/>
        <v>0</v>
      </c>
      <c r="BF23" s="19">
        <f t="shared" si="7"/>
        <v>0.5833333333</v>
      </c>
      <c r="BG23" s="19"/>
    </row>
    <row r="24" ht="15.75" customHeight="1">
      <c r="A24" s="32" t="s">
        <v>78</v>
      </c>
      <c r="B24" s="25"/>
      <c r="C24" s="26"/>
      <c r="D24" s="26">
        <v>3.0</v>
      </c>
      <c r="E24" s="26">
        <v>0.0</v>
      </c>
      <c r="F24" s="26"/>
      <c r="G24" s="26">
        <v>3.0</v>
      </c>
      <c r="H24" s="26">
        <v>-3.0</v>
      </c>
      <c r="I24" s="26">
        <v>-2.0</v>
      </c>
      <c r="J24" s="26"/>
      <c r="K24" s="25"/>
      <c r="L24" s="27">
        <v>-3.0</v>
      </c>
      <c r="M24" s="26">
        <v>-1.0</v>
      </c>
      <c r="N24" s="26"/>
      <c r="O24" s="26"/>
      <c r="P24" s="26">
        <v>1.0</v>
      </c>
      <c r="Q24" s="26">
        <v>2.0</v>
      </c>
      <c r="R24" s="26">
        <v>0.0</v>
      </c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>
        <v>-3.0</v>
      </c>
      <c r="AJ24" s="26">
        <v>-3.0</v>
      </c>
      <c r="AK24" s="27">
        <v>-1.0</v>
      </c>
      <c r="AL24" s="26">
        <v>-1.0</v>
      </c>
      <c r="AM24" s="26">
        <v>1.0</v>
      </c>
      <c r="AN24" s="26">
        <v>1.0</v>
      </c>
      <c r="AO24" s="26">
        <v>-1.0</v>
      </c>
      <c r="AP24" s="26">
        <v>-2.0</v>
      </c>
      <c r="AQ24" s="26">
        <v>1.0</v>
      </c>
      <c r="AR24" s="26">
        <v>-1.0</v>
      </c>
      <c r="AS24" s="26">
        <v>-1.0</v>
      </c>
      <c r="AT24" s="26"/>
      <c r="AU24" s="26"/>
      <c r="AV24" s="26"/>
      <c r="AW24" s="26"/>
      <c r="AX24" s="26"/>
      <c r="AY24" s="18">
        <v>20.0</v>
      </c>
      <c r="AZ24" s="5">
        <f t="shared" si="1"/>
        <v>21</v>
      </c>
      <c r="BA24" s="5">
        <f t="shared" si="2"/>
        <v>7</v>
      </c>
      <c r="BB24" s="5">
        <f t="shared" si="3"/>
        <v>2</v>
      </c>
      <c r="BC24" s="5">
        <f t="shared" si="4"/>
        <v>12</v>
      </c>
      <c r="BD24" s="5">
        <f t="shared" si="5"/>
        <v>23</v>
      </c>
      <c r="BE24" s="5">
        <f t="shared" si="6"/>
        <v>-10</v>
      </c>
      <c r="BF24" s="19">
        <f t="shared" si="7"/>
        <v>0.3650793651</v>
      </c>
      <c r="BG24" s="19"/>
    </row>
    <row r="25" ht="15.75" customHeight="1">
      <c r="A25" s="32" t="s">
        <v>79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>
        <v>1.0</v>
      </c>
      <c r="Z25" s="26"/>
      <c r="AA25" s="26">
        <v>-3.0</v>
      </c>
      <c r="AB25" s="26"/>
      <c r="AC25" s="26">
        <v>-1.0</v>
      </c>
      <c r="AD25" s="27">
        <v>-5.0</v>
      </c>
      <c r="AE25" s="26">
        <v>0.0</v>
      </c>
      <c r="AF25" s="26"/>
      <c r="AG25" s="26"/>
      <c r="AH25" s="26">
        <v>2.0</v>
      </c>
      <c r="AI25" s="26">
        <v>3.0</v>
      </c>
      <c r="AJ25" s="26">
        <v>-3.0</v>
      </c>
      <c r="AK25" s="26">
        <v>-1.0</v>
      </c>
      <c r="AL25" s="26"/>
      <c r="AM25" s="26"/>
      <c r="AN25" s="26">
        <v>1.0</v>
      </c>
      <c r="AO25" s="26">
        <v>1.0</v>
      </c>
      <c r="AP25" s="26"/>
      <c r="AQ25" s="26">
        <v>1.0</v>
      </c>
      <c r="AR25" s="27">
        <v>-1.0</v>
      </c>
      <c r="AS25" s="26"/>
      <c r="AT25" s="26"/>
      <c r="AU25" s="26"/>
      <c r="AV25" s="26"/>
      <c r="AW25" s="26"/>
      <c r="AX25" s="26"/>
      <c r="AY25" s="18">
        <v>21.0</v>
      </c>
      <c r="AZ25" s="5">
        <f t="shared" si="1"/>
        <v>13</v>
      </c>
      <c r="BA25" s="5">
        <f t="shared" si="2"/>
        <v>6</v>
      </c>
      <c r="BB25" s="5">
        <f t="shared" si="3"/>
        <v>1</v>
      </c>
      <c r="BC25" s="5">
        <f t="shared" si="4"/>
        <v>6</v>
      </c>
      <c r="BD25" s="5">
        <f t="shared" si="5"/>
        <v>19</v>
      </c>
      <c r="BE25" s="5">
        <f t="shared" si="6"/>
        <v>-5</v>
      </c>
      <c r="BF25" s="19">
        <f t="shared" si="7"/>
        <v>0.4871794872</v>
      </c>
      <c r="BG25" s="19"/>
    </row>
    <row r="26" ht="15.75" customHeight="1">
      <c r="A26" s="32" t="s">
        <v>80</v>
      </c>
      <c r="B26" s="25"/>
      <c r="C26" s="26"/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>
        <v>3.0</v>
      </c>
      <c r="AC26" s="26">
        <v>1.0</v>
      </c>
      <c r="AD26" s="26"/>
      <c r="AE26" s="26">
        <v>0.0</v>
      </c>
      <c r="AF26" s="26"/>
      <c r="AG26" s="26">
        <v>0.0</v>
      </c>
      <c r="AH26" s="26"/>
      <c r="AI26" s="26"/>
      <c r="AJ26" s="26">
        <v>-3.0</v>
      </c>
      <c r="AK26" s="26">
        <v>1.0</v>
      </c>
      <c r="AL26" s="26">
        <v>1.0</v>
      </c>
      <c r="AM26" s="26">
        <v>-1.0</v>
      </c>
      <c r="AN26" s="26"/>
      <c r="AO26" s="26"/>
      <c r="AP26" s="26">
        <v>2.0</v>
      </c>
      <c r="AQ26" s="26"/>
      <c r="AR26" s="26"/>
      <c r="AS26" s="26"/>
      <c r="AT26" s="26"/>
      <c r="AU26" s="26"/>
      <c r="AV26" s="26"/>
      <c r="AW26" s="26"/>
      <c r="AX26" s="26"/>
      <c r="AY26" s="18">
        <v>22.0</v>
      </c>
      <c r="AZ26" s="5">
        <f t="shared" si="1"/>
        <v>9</v>
      </c>
      <c r="BA26" s="5">
        <f t="shared" si="2"/>
        <v>5</v>
      </c>
      <c r="BB26" s="5">
        <f t="shared" si="3"/>
        <v>2</v>
      </c>
      <c r="BC26" s="5">
        <f t="shared" si="4"/>
        <v>2</v>
      </c>
      <c r="BD26" s="5">
        <f t="shared" si="5"/>
        <v>17</v>
      </c>
      <c r="BE26" s="5">
        <f t="shared" si="6"/>
        <v>4</v>
      </c>
      <c r="BF26" s="19">
        <f t="shared" si="7"/>
        <v>0.6296296296</v>
      </c>
      <c r="BG26" s="19"/>
    </row>
    <row r="27" ht="15.75" customHeight="1">
      <c r="A27" s="32" t="s">
        <v>81</v>
      </c>
      <c r="B27" s="25"/>
      <c r="C27" s="26">
        <v>-1.0</v>
      </c>
      <c r="D27" s="26"/>
      <c r="E27" s="26"/>
      <c r="F27" s="26">
        <v>2.0</v>
      </c>
      <c r="G27" s="26">
        <v>3.0</v>
      </c>
      <c r="H27" s="26">
        <v>3.0</v>
      </c>
      <c r="I27" s="26">
        <v>2.0</v>
      </c>
      <c r="J27" s="26"/>
      <c r="K27" s="25"/>
      <c r="L27" s="26"/>
      <c r="M27" s="26"/>
      <c r="N27" s="26"/>
      <c r="O27" s="26"/>
      <c r="P27" s="26"/>
      <c r="Q27" s="26"/>
      <c r="R27" s="26"/>
      <c r="S27" s="26"/>
      <c r="T27" s="27">
        <v>3.0</v>
      </c>
      <c r="U27" s="26">
        <v>0.0</v>
      </c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18">
        <v>23.0</v>
      </c>
      <c r="AZ27" s="5">
        <f t="shared" si="1"/>
        <v>7</v>
      </c>
      <c r="BA27" s="5">
        <f t="shared" si="2"/>
        <v>5</v>
      </c>
      <c r="BB27" s="5">
        <f t="shared" si="3"/>
        <v>1</v>
      </c>
      <c r="BC27" s="5">
        <f t="shared" si="4"/>
        <v>1</v>
      </c>
      <c r="BD27" s="5">
        <f t="shared" si="5"/>
        <v>16</v>
      </c>
      <c r="BE27" s="5">
        <f t="shared" si="6"/>
        <v>12</v>
      </c>
      <c r="BF27" s="19">
        <f t="shared" si="7"/>
        <v>0.7619047619</v>
      </c>
      <c r="BG27" s="19"/>
    </row>
    <row r="28" ht="15.75" customHeight="1">
      <c r="A28" s="32" t="s">
        <v>82</v>
      </c>
      <c r="B28" s="25"/>
      <c r="C28" s="26"/>
      <c r="D28" s="26"/>
      <c r="E28" s="26">
        <v>0.0</v>
      </c>
      <c r="F28" s="27">
        <v>2.0</v>
      </c>
      <c r="G28" s="26"/>
      <c r="H28" s="26">
        <v>3.0</v>
      </c>
      <c r="I28" s="26"/>
      <c r="J28" s="26"/>
      <c r="K28" s="25"/>
      <c r="L28" s="26"/>
      <c r="M28" s="26">
        <v>-1.0</v>
      </c>
      <c r="N28" s="26">
        <v>-2.0</v>
      </c>
      <c r="O28" s="26">
        <v>-1.0</v>
      </c>
      <c r="P28" s="26"/>
      <c r="Q28" s="26"/>
      <c r="R28" s="27">
        <v>0.0</v>
      </c>
      <c r="S28" s="26">
        <v>-2.0</v>
      </c>
      <c r="T28" s="26">
        <v>-3.0</v>
      </c>
      <c r="U28" s="26">
        <v>0.0</v>
      </c>
      <c r="V28" s="26">
        <v>-1.0</v>
      </c>
      <c r="W28" s="25"/>
      <c r="X28" s="26">
        <v>-2.0</v>
      </c>
      <c r="Y28" s="26"/>
      <c r="Z28" s="26"/>
      <c r="AA28" s="26">
        <v>-3.0</v>
      </c>
      <c r="AB28" s="26"/>
      <c r="AC28" s="27">
        <v>-1.0</v>
      </c>
      <c r="AD28" s="26"/>
      <c r="AE28" s="26">
        <v>0.0</v>
      </c>
      <c r="AF28" s="26">
        <v>-1.0</v>
      </c>
      <c r="AG28" s="26"/>
      <c r="AH28" s="26">
        <v>-2.0</v>
      </c>
      <c r="AI28" s="26">
        <v>-3.0</v>
      </c>
      <c r="AJ28" s="26">
        <v>-3.0</v>
      </c>
      <c r="AK28" s="26"/>
      <c r="AL28" s="26">
        <v>1.0</v>
      </c>
      <c r="AM28" s="26">
        <v>-1.0</v>
      </c>
      <c r="AN28" s="26"/>
      <c r="AO28" s="26"/>
      <c r="AP28" s="26"/>
      <c r="AQ28" s="26">
        <v>-1.0</v>
      </c>
      <c r="AR28" s="26"/>
      <c r="AS28" s="27">
        <v>-1.0</v>
      </c>
      <c r="AT28" s="26">
        <v>2.0</v>
      </c>
      <c r="AU28" s="26"/>
      <c r="AV28" s="26"/>
      <c r="AW28" s="26"/>
      <c r="AX28" s="26"/>
      <c r="AY28" s="18">
        <v>24.0</v>
      </c>
      <c r="AZ28" s="5">
        <f t="shared" si="1"/>
        <v>24</v>
      </c>
      <c r="BA28" s="5">
        <f t="shared" si="2"/>
        <v>4</v>
      </c>
      <c r="BB28" s="5">
        <f t="shared" si="3"/>
        <v>4</v>
      </c>
      <c r="BC28" s="5">
        <f t="shared" si="4"/>
        <v>16</v>
      </c>
      <c r="BD28" s="5">
        <f t="shared" si="5"/>
        <v>16</v>
      </c>
      <c r="BE28" s="5">
        <f t="shared" si="6"/>
        <v>-20</v>
      </c>
      <c r="BF28" s="19">
        <f t="shared" si="7"/>
        <v>0.2222222222</v>
      </c>
      <c r="BG28" s="19"/>
    </row>
    <row r="29" ht="15.75" customHeight="1">
      <c r="A29" s="32" t="s">
        <v>83</v>
      </c>
      <c r="B29" s="25"/>
      <c r="C29" s="26">
        <v>1.0</v>
      </c>
      <c r="D29" s="26">
        <v>3.0</v>
      </c>
      <c r="E29" s="26"/>
      <c r="F29" s="26"/>
      <c r="G29" s="26"/>
      <c r="H29" s="26">
        <v>3.0</v>
      </c>
      <c r="I29" s="26">
        <v>2.0</v>
      </c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18">
        <v>25.0</v>
      </c>
      <c r="AZ29" s="5">
        <f t="shared" si="1"/>
        <v>4</v>
      </c>
      <c r="BA29" s="5">
        <f t="shared" si="2"/>
        <v>4</v>
      </c>
      <c r="BB29" s="5">
        <f t="shared" si="3"/>
        <v>0</v>
      </c>
      <c r="BC29" s="5">
        <f t="shared" si="4"/>
        <v>0</v>
      </c>
      <c r="BD29" s="5">
        <f t="shared" si="5"/>
        <v>12</v>
      </c>
      <c r="BE29" s="5">
        <f t="shared" si="6"/>
        <v>9</v>
      </c>
      <c r="BF29" s="19">
        <f t="shared" si="7"/>
        <v>1</v>
      </c>
      <c r="BG29" s="19"/>
    </row>
    <row r="30" ht="15.75" customHeight="1">
      <c r="A30" s="32" t="s">
        <v>84</v>
      </c>
      <c r="B30" s="25"/>
      <c r="C30" s="26">
        <v>-1.0</v>
      </c>
      <c r="D30" s="26"/>
      <c r="E30" s="26"/>
      <c r="F30" s="26"/>
      <c r="G30" s="26">
        <v>-3.0</v>
      </c>
      <c r="H30" s="26"/>
      <c r="I30" s="26"/>
      <c r="J30" s="26"/>
      <c r="K30" s="25"/>
      <c r="L30" s="27">
        <v>3.0</v>
      </c>
      <c r="M30" s="26">
        <v>1.0</v>
      </c>
      <c r="N30" s="26">
        <v>-2.0</v>
      </c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>
        <v>1.0</v>
      </c>
      <c r="AO30" s="26">
        <v>1.0</v>
      </c>
      <c r="AP30" s="26"/>
      <c r="AQ30" s="26"/>
      <c r="AR30" s="26"/>
      <c r="AS30" s="26"/>
      <c r="AT30" s="26"/>
      <c r="AU30" s="26"/>
      <c r="AV30" s="26"/>
      <c r="AW30" s="26"/>
      <c r="AX30" s="26"/>
      <c r="AY30" s="18">
        <v>26.0</v>
      </c>
      <c r="AZ30" s="5">
        <f t="shared" si="1"/>
        <v>7</v>
      </c>
      <c r="BA30" s="5">
        <f t="shared" si="2"/>
        <v>4</v>
      </c>
      <c r="BB30" s="5">
        <f t="shared" si="3"/>
        <v>0</v>
      </c>
      <c r="BC30" s="5">
        <f t="shared" si="4"/>
        <v>3</v>
      </c>
      <c r="BD30" s="5">
        <f t="shared" si="5"/>
        <v>12</v>
      </c>
      <c r="BE30" s="5">
        <f t="shared" si="6"/>
        <v>0</v>
      </c>
      <c r="BF30" s="19">
        <f t="shared" si="7"/>
        <v>0.5714285714</v>
      </c>
      <c r="BG30" s="19"/>
    </row>
    <row r="31" ht="15.75" customHeight="1">
      <c r="A31" s="32" t="s">
        <v>85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>
        <v>1.0</v>
      </c>
      <c r="AM31" s="26">
        <v>1.0</v>
      </c>
      <c r="AN31" s="26">
        <v>-1.0</v>
      </c>
      <c r="AO31" s="26">
        <v>-1.0</v>
      </c>
      <c r="AP31" s="26">
        <v>-2.0</v>
      </c>
      <c r="AQ31" s="27">
        <v>-1.0</v>
      </c>
      <c r="AR31" s="26">
        <v>-1.0</v>
      </c>
      <c r="AS31" s="26">
        <v>1.0</v>
      </c>
      <c r="AT31" s="26">
        <v>2.0</v>
      </c>
      <c r="AU31" s="26"/>
      <c r="AV31" s="26"/>
      <c r="AW31" s="26"/>
      <c r="AX31" s="26"/>
      <c r="AY31" s="18">
        <v>27.0</v>
      </c>
      <c r="AZ31" s="5">
        <f t="shared" si="1"/>
        <v>9</v>
      </c>
      <c r="BA31" s="5">
        <f t="shared" si="2"/>
        <v>4</v>
      </c>
      <c r="BB31" s="5">
        <f t="shared" si="3"/>
        <v>0</v>
      </c>
      <c r="BC31" s="5">
        <f t="shared" si="4"/>
        <v>5</v>
      </c>
      <c r="BD31" s="5">
        <f t="shared" si="5"/>
        <v>12</v>
      </c>
      <c r="BE31" s="5">
        <f t="shared" si="6"/>
        <v>-1</v>
      </c>
      <c r="BF31" s="19">
        <f t="shared" si="7"/>
        <v>0.4444444444</v>
      </c>
      <c r="BG31" s="19"/>
    </row>
    <row r="32" ht="15.75" customHeight="1">
      <c r="A32" s="32" t="s">
        <v>86</v>
      </c>
      <c r="B32" s="25"/>
      <c r="C32" s="26"/>
      <c r="D32" s="26">
        <v>-3.0</v>
      </c>
      <c r="E32" s="26"/>
      <c r="F32" s="26">
        <v>-2.0</v>
      </c>
      <c r="G32" s="26"/>
      <c r="H32" s="26"/>
      <c r="I32" s="26"/>
      <c r="J32" s="26"/>
      <c r="K32" s="25"/>
      <c r="L32" s="26">
        <v>-3.0</v>
      </c>
      <c r="M32" s="26"/>
      <c r="N32" s="27">
        <v>2.0</v>
      </c>
      <c r="O32" s="26">
        <v>-1.0</v>
      </c>
      <c r="P32" s="26">
        <v>-1.0</v>
      </c>
      <c r="Q32" s="26"/>
      <c r="R32" s="26"/>
      <c r="S32" s="26"/>
      <c r="T32" s="26">
        <v>3.0</v>
      </c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>
        <v>-1.0</v>
      </c>
      <c r="AG32" s="26"/>
      <c r="AH32" s="26"/>
      <c r="AI32" s="26">
        <v>-3.0</v>
      </c>
      <c r="AJ32" s="26"/>
      <c r="AK32" s="26"/>
      <c r="AL32" s="26"/>
      <c r="AM32" s="26"/>
      <c r="AN32" s="26">
        <v>-1.0</v>
      </c>
      <c r="AO32" s="26"/>
      <c r="AP32" s="26"/>
      <c r="AQ32" s="26"/>
      <c r="AR32" s="26">
        <v>1.0</v>
      </c>
      <c r="AS32" s="26"/>
      <c r="AT32" s="26"/>
      <c r="AU32" s="26"/>
      <c r="AV32" s="26"/>
      <c r="AW32" s="26"/>
      <c r="AX32" s="26"/>
      <c r="AY32" s="18">
        <v>28.0</v>
      </c>
      <c r="AZ32" s="5">
        <f t="shared" si="1"/>
        <v>11</v>
      </c>
      <c r="BA32" s="5">
        <f t="shared" si="2"/>
        <v>3</v>
      </c>
      <c r="BB32" s="5">
        <f t="shared" si="3"/>
        <v>0</v>
      </c>
      <c r="BC32" s="5">
        <f t="shared" si="4"/>
        <v>8</v>
      </c>
      <c r="BD32" s="5">
        <f t="shared" si="5"/>
        <v>9</v>
      </c>
      <c r="BE32" s="5">
        <f t="shared" si="6"/>
        <v>-9</v>
      </c>
      <c r="BF32" s="19">
        <f t="shared" si="7"/>
        <v>0.2727272727</v>
      </c>
      <c r="BG32" s="19"/>
    </row>
    <row r="33" ht="15.75" customHeight="1">
      <c r="A33" s="32" t="s">
        <v>87</v>
      </c>
      <c r="B33" s="25"/>
      <c r="C33" s="26"/>
      <c r="D33" s="26"/>
      <c r="E33" s="26"/>
      <c r="F33" s="26"/>
      <c r="G33" s="26"/>
      <c r="H33" s="26"/>
      <c r="I33" s="26">
        <v>-2.0</v>
      </c>
      <c r="J33" s="26"/>
      <c r="K33" s="25"/>
      <c r="L33" s="26">
        <v>-3.0</v>
      </c>
      <c r="M33" s="26"/>
      <c r="N33" s="26"/>
      <c r="O33" s="26"/>
      <c r="P33" s="26"/>
      <c r="Q33" s="26"/>
      <c r="R33" s="26"/>
      <c r="S33" s="26"/>
      <c r="T33" s="27">
        <v>-3.0</v>
      </c>
      <c r="U33" s="26">
        <v>0.0</v>
      </c>
      <c r="V33" s="26">
        <v>1.0</v>
      </c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>
        <v>3.0</v>
      </c>
      <c r="AK33" s="26"/>
      <c r="AL33" s="26"/>
      <c r="AM33" s="26"/>
      <c r="AN33" s="26"/>
      <c r="AO33" s="26"/>
      <c r="AP33" s="26">
        <v>-2.0</v>
      </c>
      <c r="AQ33" s="26"/>
      <c r="AR33" s="26"/>
      <c r="AS33" s="26"/>
      <c r="AT33" s="26"/>
      <c r="AU33" s="26"/>
      <c r="AV33" s="26"/>
      <c r="AW33" s="26"/>
      <c r="AX33" s="26"/>
      <c r="AY33" s="18">
        <v>29.0</v>
      </c>
      <c r="AZ33" s="5">
        <f t="shared" si="1"/>
        <v>7</v>
      </c>
      <c r="BA33" s="5">
        <f t="shared" si="2"/>
        <v>2</v>
      </c>
      <c r="BB33" s="5">
        <f t="shared" si="3"/>
        <v>1</v>
      </c>
      <c r="BC33" s="5">
        <f t="shared" si="4"/>
        <v>4</v>
      </c>
      <c r="BD33" s="5">
        <f t="shared" si="5"/>
        <v>7</v>
      </c>
      <c r="BE33" s="5">
        <f t="shared" si="6"/>
        <v>-6</v>
      </c>
      <c r="BF33" s="19">
        <f t="shared" si="7"/>
        <v>0.3333333333</v>
      </c>
      <c r="BG33" s="19"/>
    </row>
    <row r="34" ht="15.75" customHeight="1">
      <c r="A34" s="32" t="s">
        <v>88</v>
      </c>
      <c r="B34" s="25"/>
      <c r="C34" s="26"/>
      <c r="D34" s="26"/>
      <c r="E34" s="26">
        <v>0.0</v>
      </c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>
        <v>-3.0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-2.0</v>
      </c>
      <c r="AQ34" s="26">
        <v>-1.0</v>
      </c>
      <c r="AR34" s="26"/>
      <c r="AS34" s="26"/>
      <c r="AT34" s="26">
        <v>2.0</v>
      </c>
      <c r="AU34" s="26"/>
      <c r="AV34" s="26"/>
      <c r="AW34" s="26"/>
      <c r="AX34" s="26"/>
      <c r="AY34" s="18">
        <v>30.0</v>
      </c>
      <c r="AZ34" s="5">
        <f t="shared" si="1"/>
        <v>5</v>
      </c>
      <c r="BA34" s="5">
        <f t="shared" si="2"/>
        <v>1</v>
      </c>
      <c r="BB34" s="5">
        <f t="shared" si="3"/>
        <v>1</v>
      </c>
      <c r="BC34" s="5">
        <f t="shared" si="4"/>
        <v>3</v>
      </c>
      <c r="BD34" s="5">
        <f t="shared" si="5"/>
        <v>4</v>
      </c>
      <c r="BE34" s="5">
        <f t="shared" si="6"/>
        <v>-4</v>
      </c>
      <c r="BF34" s="19">
        <f t="shared" si="7"/>
        <v>0.2666666667</v>
      </c>
      <c r="BG34" s="19"/>
    </row>
    <row r="35" ht="13.5" customHeight="1">
      <c r="A35" s="32" t="s">
        <v>89</v>
      </c>
      <c r="B35" s="25"/>
      <c r="C35" s="26"/>
      <c r="D35" s="26"/>
      <c r="E35" s="26"/>
      <c r="F35" s="26"/>
      <c r="G35" s="26"/>
      <c r="H35" s="26"/>
      <c r="I35" s="26">
        <v>2.0</v>
      </c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18">
        <v>31.0</v>
      </c>
      <c r="AZ35" s="5">
        <f t="shared" si="1"/>
        <v>1</v>
      </c>
      <c r="BA35" s="5">
        <f t="shared" si="2"/>
        <v>1</v>
      </c>
      <c r="BB35" s="5">
        <f t="shared" si="3"/>
        <v>0</v>
      </c>
      <c r="BC35" s="5">
        <f t="shared" si="4"/>
        <v>0</v>
      </c>
      <c r="BD35" s="5">
        <f t="shared" si="5"/>
        <v>3</v>
      </c>
      <c r="BE35" s="5">
        <f t="shared" si="6"/>
        <v>2</v>
      </c>
      <c r="BF35" s="19">
        <f t="shared" si="7"/>
        <v>1</v>
      </c>
      <c r="BG35" s="19"/>
    </row>
    <row r="36" ht="13.5" customHeight="1">
      <c r="A36" s="32" t="s">
        <v>90</v>
      </c>
      <c r="B36" s="25"/>
      <c r="C36" s="26"/>
      <c r="D36" s="26">
        <v>3.0</v>
      </c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>
        <v>-3.0</v>
      </c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18">
        <v>32.0</v>
      </c>
      <c r="AZ36" s="5">
        <f t="shared" si="1"/>
        <v>2</v>
      </c>
      <c r="BA36" s="5">
        <f t="shared" si="2"/>
        <v>1</v>
      </c>
      <c r="BB36" s="5">
        <f t="shared" si="3"/>
        <v>0</v>
      </c>
      <c r="BC36" s="5">
        <f t="shared" si="4"/>
        <v>1</v>
      </c>
      <c r="BD36" s="5">
        <f t="shared" si="5"/>
        <v>3</v>
      </c>
      <c r="BE36" s="5">
        <f t="shared" si="6"/>
        <v>0</v>
      </c>
      <c r="BF36" s="19">
        <f t="shared" si="7"/>
        <v>0.5</v>
      </c>
      <c r="BG36" s="19"/>
    </row>
    <row r="37" ht="13.5" customHeight="1">
      <c r="A37" s="32" t="s">
        <v>91</v>
      </c>
      <c r="B37" s="25"/>
      <c r="C37" s="26"/>
      <c r="D37" s="26"/>
      <c r="E37" s="26"/>
      <c r="F37" s="26"/>
      <c r="G37" s="26"/>
      <c r="H37" s="26"/>
      <c r="I37" s="26"/>
      <c r="J37" s="26"/>
      <c r="K37" s="25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2.0</v>
      </c>
      <c r="AI37" s="26">
        <v>-3.0</v>
      </c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18">
        <v>33.0</v>
      </c>
      <c r="AZ37" s="5">
        <f t="shared" si="1"/>
        <v>2</v>
      </c>
      <c r="BA37" s="5">
        <f t="shared" si="2"/>
        <v>1</v>
      </c>
      <c r="BB37" s="5">
        <f t="shared" si="3"/>
        <v>0</v>
      </c>
      <c r="BC37" s="5">
        <f t="shared" si="4"/>
        <v>1</v>
      </c>
      <c r="BD37" s="5">
        <f t="shared" si="5"/>
        <v>3</v>
      </c>
      <c r="BE37" s="5">
        <f t="shared" si="6"/>
        <v>-1</v>
      </c>
      <c r="BF37" s="19">
        <f t="shared" si="7"/>
        <v>0.5</v>
      </c>
      <c r="BG37" s="19"/>
    </row>
    <row r="38" ht="13.5" customHeight="1">
      <c r="A38" s="32" t="s">
        <v>92</v>
      </c>
      <c r="B38" s="25"/>
      <c r="C38" s="26">
        <v>1.0</v>
      </c>
      <c r="D38" s="26">
        <v>-3.0</v>
      </c>
      <c r="E38" s="26"/>
      <c r="F38" s="26"/>
      <c r="G38" s="26"/>
      <c r="H38" s="26"/>
      <c r="I38" s="26"/>
      <c r="J38" s="26"/>
      <c r="K38" s="25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18">
        <v>34.0</v>
      </c>
      <c r="AZ38" s="5">
        <f t="shared" si="1"/>
        <v>2</v>
      </c>
      <c r="BA38" s="5">
        <f t="shared" si="2"/>
        <v>1</v>
      </c>
      <c r="BB38" s="5">
        <f t="shared" si="3"/>
        <v>0</v>
      </c>
      <c r="BC38" s="5">
        <f t="shared" si="4"/>
        <v>1</v>
      </c>
      <c r="BD38" s="5">
        <f t="shared" si="5"/>
        <v>3</v>
      </c>
      <c r="BE38" s="5">
        <f t="shared" si="6"/>
        <v>-2</v>
      </c>
      <c r="BF38" s="19">
        <f t="shared" si="7"/>
        <v>0.5</v>
      </c>
      <c r="BG38" s="19"/>
    </row>
    <row r="39" ht="13.5" customHeight="1">
      <c r="A39" s="32" t="s">
        <v>93</v>
      </c>
      <c r="B39" s="25"/>
      <c r="C39" s="26"/>
      <c r="D39" s="26"/>
      <c r="E39" s="26"/>
      <c r="F39" s="26"/>
      <c r="G39" s="26"/>
      <c r="H39" s="26"/>
      <c r="I39" s="26"/>
      <c r="J39" s="26"/>
      <c r="K39" s="25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5"/>
      <c r="X39" s="26"/>
      <c r="Y39" s="26"/>
      <c r="Z39" s="26"/>
      <c r="AA39" s="26">
        <v>-3.0</v>
      </c>
      <c r="AB39" s="26"/>
      <c r="AC39" s="26"/>
      <c r="AD39" s="26"/>
      <c r="AE39" s="26"/>
      <c r="AF39" s="26">
        <v>-1.0</v>
      </c>
      <c r="AG39" s="26"/>
      <c r="AH39" s="26">
        <v>-2.0</v>
      </c>
      <c r="AI39" s="26"/>
      <c r="AJ39" s="27">
        <v>3.0</v>
      </c>
      <c r="AK39" s="26"/>
      <c r="AL39" s="26"/>
      <c r="AM39" s="26"/>
      <c r="AN39" s="26"/>
      <c r="AO39" s="26"/>
      <c r="AP39" s="26"/>
      <c r="AQ39" s="26"/>
      <c r="AR39" s="26">
        <v>-1.0</v>
      </c>
      <c r="AS39" s="26"/>
      <c r="AT39" s="26"/>
      <c r="AU39" s="26"/>
      <c r="AV39" s="26"/>
      <c r="AW39" s="26"/>
      <c r="AX39" s="26"/>
      <c r="AY39" s="18">
        <v>35.0</v>
      </c>
      <c r="AZ39" s="5">
        <f t="shared" si="1"/>
        <v>5</v>
      </c>
      <c r="BA39" s="5">
        <f t="shared" si="2"/>
        <v>1</v>
      </c>
      <c r="BB39" s="5">
        <f t="shared" si="3"/>
        <v>0</v>
      </c>
      <c r="BC39" s="5">
        <f t="shared" si="4"/>
        <v>4</v>
      </c>
      <c r="BD39" s="5">
        <f t="shared" si="5"/>
        <v>3</v>
      </c>
      <c r="BE39" s="5">
        <f t="shared" si="6"/>
        <v>-4</v>
      </c>
      <c r="BF39" s="19">
        <f t="shared" si="7"/>
        <v>0.2</v>
      </c>
      <c r="BG39" s="19"/>
    </row>
    <row r="40" ht="13.5" customHeight="1">
      <c r="A40" s="32" t="s">
        <v>94</v>
      </c>
      <c r="B40" s="25"/>
      <c r="C40" s="26"/>
      <c r="D40" s="26"/>
      <c r="E40" s="26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>
        <v>-1.0</v>
      </c>
      <c r="AM40" s="26">
        <v>-1.0</v>
      </c>
      <c r="AN40" s="26"/>
      <c r="AO40" s="26">
        <v>-1.0</v>
      </c>
      <c r="AP40" s="26"/>
      <c r="AQ40" s="26"/>
      <c r="AR40" s="26"/>
      <c r="AS40" s="26"/>
      <c r="AT40" s="26">
        <v>0.0</v>
      </c>
      <c r="AU40" s="26"/>
      <c r="AV40" s="26"/>
      <c r="AW40" s="26"/>
      <c r="AX40" s="26"/>
      <c r="AY40" s="18">
        <v>36.0</v>
      </c>
      <c r="AZ40" s="5">
        <f t="shared" si="1"/>
        <v>4</v>
      </c>
      <c r="BA40" s="5">
        <f t="shared" si="2"/>
        <v>0</v>
      </c>
      <c r="BB40" s="5">
        <f t="shared" si="3"/>
        <v>1</v>
      </c>
      <c r="BC40" s="5">
        <f t="shared" si="4"/>
        <v>3</v>
      </c>
      <c r="BD40" s="5">
        <f t="shared" si="5"/>
        <v>1</v>
      </c>
      <c r="BE40" s="5">
        <f t="shared" si="6"/>
        <v>-3</v>
      </c>
      <c r="BF40" s="19">
        <f t="shared" si="7"/>
        <v>0.08333333333</v>
      </c>
      <c r="BG40" s="19"/>
    </row>
    <row r="41" ht="13.5" customHeight="1">
      <c r="A41" s="32" t="s">
        <v>95</v>
      </c>
      <c r="B41" s="25"/>
      <c r="C41" s="26"/>
      <c r="D41" s="26"/>
      <c r="E41" s="26"/>
      <c r="F41" s="26"/>
      <c r="G41" s="26"/>
      <c r="H41" s="26"/>
      <c r="I41" s="26"/>
      <c r="J41" s="26"/>
      <c r="K41" s="25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5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>
        <v>-1.0</v>
      </c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18">
        <v>37.0</v>
      </c>
      <c r="AZ41" s="5">
        <f t="shared" si="1"/>
        <v>1</v>
      </c>
      <c r="BA41" s="5">
        <f t="shared" si="2"/>
        <v>0</v>
      </c>
      <c r="BB41" s="5">
        <f t="shared" si="3"/>
        <v>0</v>
      </c>
      <c r="BC41" s="5">
        <f t="shared" si="4"/>
        <v>1</v>
      </c>
      <c r="BD41" s="5">
        <f t="shared" si="5"/>
        <v>0</v>
      </c>
      <c r="BE41" s="5">
        <f t="shared" si="6"/>
        <v>-1</v>
      </c>
      <c r="BF41" s="19">
        <f t="shared" si="7"/>
        <v>0</v>
      </c>
      <c r="BG41" s="19"/>
    </row>
    <row r="42" ht="17.25" customHeight="1">
      <c r="A42" s="33" t="s">
        <v>96</v>
      </c>
      <c r="B42" s="30">
        <f t="shared" ref="B42:AW42" si="8">COUNT(B5:B41)</f>
        <v>0</v>
      </c>
      <c r="C42" s="30">
        <f t="shared" si="8"/>
        <v>19</v>
      </c>
      <c r="D42" s="30">
        <f t="shared" si="8"/>
        <v>20</v>
      </c>
      <c r="E42" s="30">
        <f t="shared" si="8"/>
        <v>16</v>
      </c>
      <c r="F42" s="30">
        <f t="shared" si="8"/>
        <v>18</v>
      </c>
      <c r="G42" s="30">
        <f t="shared" si="8"/>
        <v>16</v>
      </c>
      <c r="H42" s="30">
        <f t="shared" si="8"/>
        <v>20</v>
      </c>
      <c r="I42" s="30">
        <f t="shared" si="8"/>
        <v>21</v>
      </c>
      <c r="J42" s="30">
        <f t="shared" si="8"/>
        <v>15</v>
      </c>
      <c r="K42" s="30">
        <f t="shared" si="8"/>
        <v>0</v>
      </c>
      <c r="L42" s="30">
        <f t="shared" si="8"/>
        <v>18</v>
      </c>
      <c r="M42" s="30">
        <f t="shared" si="8"/>
        <v>18</v>
      </c>
      <c r="N42" s="30">
        <f t="shared" si="8"/>
        <v>17</v>
      </c>
      <c r="O42" s="30">
        <f t="shared" si="8"/>
        <v>19</v>
      </c>
      <c r="P42" s="30">
        <f t="shared" si="8"/>
        <v>16</v>
      </c>
      <c r="Q42" s="30">
        <f t="shared" si="8"/>
        <v>18</v>
      </c>
      <c r="R42" s="30">
        <f t="shared" si="8"/>
        <v>16</v>
      </c>
      <c r="S42" s="30">
        <f t="shared" si="8"/>
        <v>16</v>
      </c>
      <c r="T42" s="30">
        <f t="shared" si="8"/>
        <v>20</v>
      </c>
      <c r="U42" s="30">
        <f t="shared" si="8"/>
        <v>16</v>
      </c>
      <c r="V42" s="30">
        <f t="shared" si="8"/>
        <v>15</v>
      </c>
      <c r="W42" s="30">
        <f t="shared" si="8"/>
        <v>0</v>
      </c>
      <c r="X42" s="30">
        <f t="shared" si="8"/>
        <v>14</v>
      </c>
      <c r="Y42" s="30">
        <f t="shared" si="8"/>
        <v>15</v>
      </c>
      <c r="Z42" s="30">
        <f t="shared" si="8"/>
        <v>14</v>
      </c>
      <c r="AA42" s="30">
        <f t="shared" si="8"/>
        <v>18</v>
      </c>
      <c r="AB42" s="30">
        <f t="shared" si="8"/>
        <v>16</v>
      </c>
      <c r="AC42" s="30">
        <f t="shared" si="8"/>
        <v>16</v>
      </c>
      <c r="AD42" s="30">
        <f t="shared" si="8"/>
        <v>16</v>
      </c>
      <c r="AE42" s="30">
        <f t="shared" si="8"/>
        <v>16</v>
      </c>
      <c r="AF42" s="30">
        <f t="shared" si="8"/>
        <v>18</v>
      </c>
      <c r="AG42" s="30">
        <f t="shared" si="8"/>
        <v>14</v>
      </c>
      <c r="AH42" s="30">
        <f t="shared" si="8"/>
        <v>18</v>
      </c>
      <c r="AI42" s="30">
        <f t="shared" si="8"/>
        <v>20</v>
      </c>
      <c r="AJ42" s="30">
        <f t="shared" si="8"/>
        <v>20</v>
      </c>
      <c r="AK42" s="30">
        <f t="shared" si="8"/>
        <v>16</v>
      </c>
      <c r="AL42" s="30">
        <f t="shared" si="8"/>
        <v>19</v>
      </c>
      <c r="AM42" s="30">
        <f t="shared" si="8"/>
        <v>20</v>
      </c>
      <c r="AN42" s="30">
        <f t="shared" si="8"/>
        <v>20</v>
      </c>
      <c r="AO42" s="30">
        <f t="shared" si="8"/>
        <v>20</v>
      </c>
      <c r="AP42" s="30">
        <f t="shared" si="8"/>
        <v>14</v>
      </c>
      <c r="AQ42" s="30">
        <f t="shared" si="8"/>
        <v>18</v>
      </c>
      <c r="AR42" s="30">
        <f t="shared" si="8"/>
        <v>15</v>
      </c>
      <c r="AS42" s="30">
        <f t="shared" si="8"/>
        <v>16</v>
      </c>
      <c r="AT42" s="30">
        <f t="shared" si="8"/>
        <v>17</v>
      </c>
      <c r="AU42" s="30">
        <f t="shared" si="8"/>
        <v>0</v>
      </c>
      <c r="AV42" s="30">
        <f t="shared" si="8"/>
        <v>0</v>
      </c>
      <c r="AW42" s="30">
        <f t="shared" si="8"/>
        <v>0</v>
      </c>
      <c r="AX42" s="30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4" t="s">
        <v>97</v>
      </c>
      <c r="B43" s="5"/>
      <c r="C43" s="35" t="s">
        <v>98</v>
      </c>
      <c r="D43" s="5" t="s">
        <v>99</v>
      </c>
      <c r="E43" s="5" t="s">
        <v>100</v>
      </c>
      <c r="F43" s="5" t="s">
        <v>101</v>
      </c>
      <c r="G43" s="5" t="s">
        <v>102</v>
      </c>
      <c r="H43" s="5" t="s">
        <v>103</v>
      </c>
      <c r="I43" s="5" t="s">
        <v>104</v>
      </c>
      <c r="J43" s="5" t="s">
        <v>105</v>
      </c>
      <c r="K43" s="5"/>
      <c r="L43" s="36" t="s">
        <v>106</v>
      </c>
      <c r="M43" s="36" t="s">
        <v>107</v>
      </c>
      <c r="N43" s="36" t="s">
        <v>103</v>
      </c>
      <c r="O43" s="36" t="s">
        <v>107</v>
      </c>
      <c r="P43" s="5" t="s">
        <v>108</v>
      </c>
      <c r="Q43" s="5" t="s">
        <v>104</v>
      </c>
      <c r="R43" s="5" t="s">
        <v>109</v>
      </c>
      <c r="S43" s="36" t="s">
        <v>104</v>
      </c>
      <c r="T43" s="36" t="s">
        <v>99</v>
      </c>
      <c r="U43" s="36" t="s">
        <v>110</v>
      </c>
      <c r="V43" s="36" t="s">
        <v>111</v>
      </c>
      <c r="W43" s="5"/>
      <c r="X43" s="5" t="s">
        <v>104</v>
      </c>
      <c r="Y43" s="5" t="s">
        <v>108</v>
      </c>
      <c r="Z43" s="36" t="s">
        <v>112</v>
      </c>
      <c r="AA43" s="36" t="s">
        <v>113</v>
      </c>
      <c r="AB43" s="36" t="s">
        <v>113</v>
      </c>
      <c r="AC43" s="5" t="s">
        <v>108</v>
      </c>
      <c r="AD43" s="36" t="s">
        <v>114</v>
      </c>
      <c r="AE43" s="36" t="s">
        <v>115</v>
      </c>
      <c r="AF43" s="36" t="s">
        <v>107</v>
      </c>
      <c r="AG43" s="5" t="s">
        <v>109</v>
      </c>
      <c r="AH43" s="36" t="s">
        <v>104</v>
      </c>
      <c r="AI43" s="5" t="s">
        <v>99</v>
      </c>
      <c r="AJ43" s="5" t="s">
        <v>102</v>
      </c>
      <c r="AK43" s="5" t="s">
        <v>116</v>
      </c>
      <c r="AL43" s="5" t="s">
        <v>107</v>
      </c>
      <c r="AM43" s="5" t="s">
        <v>98</v>
      </c>
      <c r="AN43" s="5" t="s">
        <v>107</v>
      </c>
      <c r="AO43" s="5" t="s">
        <v>107</v>
      </c>
      <c r="AP43" s="5" t="s">
        <v>104</v>
      </c>
      <c r="AQ43" s="5" t="s">
        <v>116</v>
      </c>
      <c r="AR43" s="5" t="s">
        <v>98</v>
      </c>
      <c r="AS43" s="5" t="s">
        <v>98</v>
      </c>
      <c r="AT43" s="5" t="s">
        <v>103</v>
      </c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 ht="15.75" customHeight="1">
      <c r="A44" s="2"/>
      <c r="B44" s="5"/>
      <c r="C44" s="37"/>
      <c r="D44" s="5"/>
      <c r="E44" s="5"/>
      <c r="F44" s="5"/>
      <c r="G44" s="37"/>
      <c r="H44" s="37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J47" s="38"/>
      <c r="L47" s="38"/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L48" s="38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38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38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B54" s="5"/>
      <c r="C54" s="5"/>
      <c r="D54" s="5"/>
      <c r="E54" s="5"/>
      <c r="F54" s="5"/>
      <c r="G54" s="5"/>
      <c r="H54" s="5"/>
      <c r="I54" s="5"/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37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37"/>
      <c r="E61" s="5"/>
      <c r="G61" s="37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F64" s="5"/>
      <c r="G64" s="5"/>
      <c r="H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37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G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D73" s="5"/>
      <c r="E73" s="5"/>
      <c r="F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6" width="8.86"/>
    <col customWidth="1" min="17" max="26" width="8.86"/>
  </cols>
  <sheetData>
    <row r="2">
      <c r="A2" s="39" t="s">
        <v>1</v>
      </c>
      <c r="B2" s="39" t="s">
        <v>117</v>
      </c>
      <c r="C2" s="39" t="s">
        <v>118</v>
      </c>
      <c r="D2" s="39" t="s">
        <v>119</v>
      </c>
      <c r="E2" s="39" t="s">
        <v>120</v>
      </c>
      <c r="F2" s="39" t="s">
        <v>121</v>
      </c>
      <c r="G2" s="39" t="s">
        <v>56</v>
      </c>
      <c r="J2" s="39" t="s">
        <v>122</v>
      </c>
      <c r="L2" s="39" t="s">
        <v>123</v>
      </c>
    </row>
    <row r="3">
      <c r="A3" s="40" t="s">
        <v>74</v>
      </c>
      <c r="B3" s="41">
        <v>3.0</v>
      </c>
      <c r="C3" s="41">
        <v>3.0</v>
      </c>
      <c r="D3" s="41">
        <v>0.0</v>
      </c>
      <c r="E3" s="41">
        <v>0.0</v>
      </c>
      <c r="F3" s="41">
        <v>6.0</v>
      </c>
      <c r="G3" s="41">
        <f t="shared" ref="G3:G31" si="1">SUM(C3*3)+D3</f>
        <v>9</v>
      </c>
      <c r="I3" s="5"/>
      <c r="J3" s="39">
        <f>'League Table'!AZ19</f>
        <v>34</v>
      </c>
      <c r="L3" s="42">
        <f t="shared" ref="L3:L4" si="2">J3/B3</f>
        <v>11.33333333</v>
      </c>
    </row>
    <row r="4">
      <c r="A4" s="28" t="s">
        <v>72</v>
      </c>
      <c r="B4" s="39">
        <v>3.0</v>
      </c>
      <c r="C4" s="39">
        <v>3.0</v>
      </c>
      <c r="D4" s="39">
        <v>0.0</v>
      </c>
      <c r="E4" s="39">
        <v>0.0</v>
      </c>
      <c r="F4" s="39">
        <v>5.0</v>
      </c>
      <c r="G4" s="39">
        <f t="shared" si="1"/>
        <v>9</v>
      </c>
      <c r="I4" s="5"/>
      <c r="J4" s="39">
        <f>'League Table'!AZ18</f>
        <v>28</v>
      </c>
      <c r="L4" s="42">
        <f t="shared" si="2"/>
        <v>9.333333333</v>
      </c>
    </row>
    <row r="5">
      <c r="A5" s="32" t="s">
        <v>59</v>
      </c>
      <c r="B5" s="39">
        <v>4.0</v>
      </c>
      <c r="C5" s="39">
        <v>3.0</v>
      </c>
      <c r="D5" s="39">
        <v>0.0</v>
      </c>
      <c r="E5" s="39">
        <v>1.0</v>
      </c>
      <c r="F5" s="39">
        <v>5.0</v>
      </c>
      <c r="G5" s="39">
        <f t="shared" si="1"/>
        <v>9</v>
      </c>
      <c r="I5" s="5"/>
      <c r="L5" s="42"/>
    </row>
    <row r="6">
      <c r="A6" s="32" t="s">
        <v>68</v>
      </c>
      <c r="B6" s="39">
        <v>4.0</v>
      </c>
      <c r="C6" s="39">
        <v>2.0</v>
      </c>
      <c r="D6" s="39">
        <v>1.0</v>
      </c>
      <c r="E6" s="39">
        <v>1.0</v>
      </c>
      <c r="F6" s="39">
        <v>2.0</v>
      </c>
      <c r="G6" s="39">
        <f t="shared" si="1"/>
        <v>7</v>
      </c>
      <c r="I6" s="5"/>
      <c r="K6" s="43"/>
      <c r="L6" s="42"/>
    </row>
    <row r="7">
      <c r="A7" s="32" t="s">
        <v>62</v>
      </c>
      <c r="B7" s="39">
        <v>4.0</v>
      </c>
      <c r="C7" s="39">
        <v>2.0</v>
      </c>
      <c r="D7" s="39">
        <v>1.0</v>
      </c>
      <c r="E7" s="39">
        <v>1.0</v>
      </c>
      <c r="F7" s="39">
        <v>1.0</v>
      </c>
      <c r="G7" s="39">
        <f t="shared" si="1"/>
        <v>7</v>
      </c>
      <c r="I7" s="5"/>
      <c r="K7" s="7"/>
      <c r="L7" s="42"/>
    </row>
    <row r="8">
      <c r="A8" s="32" t="s">
        <v>76</v>
      </c>
      <c r="B8" s="39">
        <v>2.0</v>
      </c>
      <c r="C8" s="39">
        <v>2.0</v>
      </c>
      <c r="D8" s="39">
        <v>0.0</v>
      </c>
      <c r="E8" s="39">
        <v>0.0</v>
      </c>
      <c r="F8" s="39">
        <v>6.0</v>
      </c>
      <c r="G8" s="39">
        <f t="shared" si="1"/>
        <v>6</v>
      </c>
      <c r="I8" s="5"/>
      <c r="L8" s="42"/>
    </row>
    <row r="9">
      <c r="A9" s="32" t="s">
        <v>124</v>
      </c>
      <c r="B9" s="39">
        <v>2.0</v>
      </c>
      <c r="C9" s="39">
        <v>2.0</v>
      </c>
      <c r="D9" s="39">
        <v>0.0</v>
      </c>
      <c r="E9" s="39">
        <v>0.0</v>
      </c>
      <c r="F9" s="39">
        <v>2.0</v>
      </c>
      <c r="G9" s="39">
        <f t="shared" si="1"/>
        <v>6</v>
      </c>
      <c r="I9" s="5"/>
      <c r="K9" s="7"/>
      <c r="L9" s="42"/>
      <c r="N9" s="39" t="s">
        <v>125</v>
      </c>
      <c r="O9" s="39" t="s">
        <v>126</v>
      </c>
    </row>
    <row r="10">
      <c r="A10" s="32" t="s">
        <v>64</v>
      </c>
      <c r="B10" s="39">
        <v>4.0</v>
      </c>
      <c r="C10" s="39">
        <v>1.0</v>
      </c>
      <c r="D10" s="39">
        <v>3.0</v>
      </c>
      <c r="E10" s="39">
        <v>0.0</v>
      </c>
      <c r="F10" s="39">
        <v>1.0</v>
      </c>
      <c r="G10" s="39">
        <f t="shared" si="1"/>
        <v>6</v>
      </c>
      <c r="I10" s="5"/>
      <c r="K10" s="7"/>
      <c r="L10" s="42"/>
      <c r="P10" s="39" t="s">
        <v>127</v>
      </c>
    </row>
    <row r="11">
      <c r="A11" s="32" t="s">
        <v>70</v>
      </c>
      <c r="B11" s="39">
        <v>4.0</v>
      </c>
      <c r="C11" s="39">
        <v>2.0</v>
      </c>
      <c r="D11" s="39">
        <v>0.0</v>
      </c>
      <c r="E11" s="39">
        <v>2.0</v>
      </c>
      <c r="F11" s="39">
        <v>0.0</v>
      </c>
      <c r="G11" s="39">
        <f t="shared" si="1"/>
        <v>6</v>
      </c>
      <c r="I11" s="5"/>
      <c r="K11" s="7"/>
      <c r="L11" s="42"/>
      <c r="N11" s="39" t="s">
        <v>128</v>
      </c>
    </row>
    <row r="12">
      <c r="A12" s="32" t="s">
        <v>63</v>
      </c>
      <c r="B12" s="39">
        <v>4.0</v>
      </c>
      <c r="C12" s="39">
        <v>2.0</v>
      </c>
      <c r="D12" s="39">
        <v>0.0</v>
      </c>
      <c r="E12" s="39">
        <v>2.0</v>
      </c>
      <c r="F12" s="39">
        <v>-1.0</v>
      </c>
      <c r="G12" s="39">
        <f t="shared" si="1"/>
        <v>6</v>
      </c>
      <c r="I12" s="5"/>
      <c r="J12" s="39">
        <f>'League Table'!AZ20</f>
        <v>25</v>
      </c>
      <c r="K12" s="7"/>
      <c r="L12" s="42">
        <f t="shared" ref="L12:L13" si="3">J12/B12</f>
        <v>6.25</v>
      </c>
      <c r="P12" s="39" t="s">
        <v>129</v>
      </c>
    </row>
    <row r="13">
      <c r="A13" s="32" t="s">
        <v>130</v>
      </c>
      <c r="B13" s="39">
        <v>5.0</v>
      </c>
      <c r="C13" s="39">
        <v>2.0</v>
      </c>
      <c r="D13" s="39">
        <v>0.0</v>
      </c>
      <c r="E13" s="39">
        <v>3.0</v>
      </c>
      <c r="F13" s="39">
        <v>-2.0</v>
      </c>
      <c r="G13" s="39">
        <f t="shared" si="1"/>
        <v>6</v>
      </c>
      <c r="H13" s="6"/>
      <c r="I13" s="5"/>
      <c r="J13" s="39">
        <f>'League Table'!AZ28</f>
        <v>24</v>
      </c>
      <c r="L13" s="42">
        <f t="shared" si="3"/>
        <v>4.8</v>
      </c>
    </row>
    <row r="14">
      <c r="A14" s="32" t="s">
        <v>73</v>
      </c>
      <c r="B14" s="39">
        <v>4.0</v>
      </c>
      <c r="C14" s="39">
        <v>2.0</v>
      </c>
      <c r="D14" s="39">
        <v>0.0</v>
      </c>
      <c r="E14" s="39">
        <v>2.0</v>
      </c>
      <c r="F14" s="39">
        <v>-3.0</v>
      </c>
      <c r="G14" s="39">
        <f t="shared" si="1"/>
        <v>6</v>
      </c>
      <c r="I14" s="5"/>
      <c r="L14" s="42"/>
    </row>
    <row r="15">
      <c r="A15" s="32" t="s">
        <v>71</v>
      </c>
      <c r="B15" s="39">
        <v>3.0</v>
      </c>
      <c r="C15" s="39">
        <v>1.0</v>
      </c>
      <c r="D15" s="39">
        <v>1.0</v>
      </c>
      <c r="E15" s="39">
        <v>1.0</v>
      </c>
      <c r="F15" s="39">
        <v>0.0</v>
      </c>
      <c r="G15" s="39">
        <f t="shared" si="1"/>
        <v>4</v>
      </c>
      <c r="I15" s="5"/>
      <c r="L15" s="42"/>
    </row>
    <row r="16">
      <c r="A16" s="32" t="s">
        <v>66</v>
      </c>
      <c r="B16" s="39">
        <v>4.0</v>
      </c>
      <c r="C16" s="39">
        <v>1.0</v>
      </c>
      <c r="D16" s="39">
        <v>1.0</v>
      </c>
      <c r="E16" s="39">
        <v>2.0</v>
      </c>
      <c r="F16" s="39">
        <v>-1.0</v>
      </c>
      <c r="G16" s="39">
        <f t="shared" si="1"/>
        <v>4</v>
      </c>
      <c r="H16" s="6"/>
      <c r="I16" s="5"/>
      <c r="L16" s="42"/>
    </row>
    <row r="17">
      <c r="A17" s="32" t="s">
        <v>82</v>
      </c>
      <c r="B17" s="39">
        <v>4.0</v>
      </c>
      <c r="C17" s="39">
        <v>1.0</v>
      </c>
      <c r="D17" s="39">
        <v>1.0</v>
      </c>
      <c r="E17" s="39">
        <v>2.0</v>
      </c>
      <c r="F17" s="39">
        <v>-2.0</v>
      </c>
      <c r="G17" s="39">
        <f t="shared" si="1"/>
        <v>4</v>
      </c>
      <c r="I17" s="5"/>
      <c r="L17" s="42"/>
    </row>
    <row r="18">
      <c r="A18" s="32" t="s">
        <v>84</v>
      </c>
      <c r="B18" s="39">
        <v>1.0</v>
      </c>
      <c r="C18" s="39">
        <v>1.0</v>
      </c>
      <c r="D18" s="39">
        <v>0.0</v>
      </c>
      <c r="E18" s="39">
        <v>0.0</v>
      </c>
      <c r="F18" s="39">
        <v>3.0</v>
      </c>
      <c r="G18" s="39">
        <f t="shared" si="1"/>
        <v>3</v>
      </c>
      <c r="I18" s="5"/>
      <c r="L18" s="42"/>
    </row>
    <row r="19">
      <c r="A19" s="32" t="s">
        <v>81</v>
      </c>
      <c r="B19" s="39">
        <v>1.0</v>
      </c>
      <c r="C19" s="39">
        <v>1.0</v>
      </c>
      <c r="D19" s="39">
        <v>0.0</v>
      </c>
      <c r="E19" s="39">
        <v>0.0</v>
      </c>
      <c r="F19" s="39">
        <v>3.0</v>
      </c>
      <c r="G19" s="39">
        <f t="shared" si="1"/>
        <v>3</v>
      </c>
      <c r="I19" s="5"/>
      <c r="J19" s="39">
        <f>'League Table'!AZ31</f>
        <v>9</v>
      </c>
      <c r="L19" s="42">
        <f t="shared" ref="L19:L21" si="4">J19/B19</f>
        <v>9</v>
      </c>
    </row>
    <row r="20">
      <c r="A20" s="32" t="s">
        <v>93</v>
      </c>
      <c r="B20" s="39">
        <v>1.0</v>
      </c>
      <c r="C20" s="39">
        <v>1.0</v>
      </c>
      <c r="D20" s="39">
        <v>0.0</v>
      </c>
      <c r="E20" s="39">
        <v>0.0</v>
      </c>
      <c r="F20" s="39">
        <v>3.0</v>
      </c>
      <c r="G20" s="39">
        <f t="shared" si="1"/>
        <v>3</v>
      </c>
      <c r="I20" s="5"/>
      <c r="J20" s="39">
        <f>'League Table'!AZ24</f>
        <v>21</v>
      </c>
      <c r="K20" s="7"/>
      <c r="L20" s="42">
        <f t="shared" si="4"/>
        <v>21</v>
      </c>
    </row>
    <row r="21" ht="15.75" customHeight="1">
      <c r="A21" s="32" t="s">
        <v>86</v>
      </c>
      <c r="B21" s="39">
        <v>1.0</v>
      </c>
      <c r="C21" s="39">
        <v>1.0</v>
      </c>
      <c r="D21" s="39">
        <v>0.0</v>
      </c>
      <c r="E21" s="39">
        <v>0.0</v>
      </c>
      <c r="F21" s="39">
        <v>2.0</v>
      </c>
      <c r="G21" s="39">
        <f t="shared" si="1"/>
        <v>3</v>
      </c>
      <c r="I21" s="5"/>
      <c r="J21" s="39">
        <f>'League Table'!AZ21</f>
        <v>20</v>
      </c>
      <c r="L21" s="42">
        <f t="shared" si="4"/>
        <v>20</v>
      </c>
    </row>
    <row r="22" ht="15.75" customHeight="1">
      <c r="A22" s="32" t="s">
        <v>65</v>
      </c>
      <c r="B22" s="39">
        <v>4.0</v>
      </c>
      <c r="C22" s="39">
        <v>1.0</v>
      </c>
      <c r="D22" s="39">
        <v>0.0</v>
      </c>
      <c r="E22" s="39">
        <v>3.0</v>
      </c>
      <c r="F22" s="39">
        <v>-1.0</v>
      </c>
      <c r="G22" s="39">
        <f t="shared" si="1"/>
        <v>3</v>
      </c>
      <c r="I22" s="5"/>
      <c r="K22" s="7"/>
      <c r="L22" s="42"/>
    </row>
    <row r="23" ht="15.75" customHeight="1">
      <c r="A23" s="32" t="s">
        <v>75</v>
      </c>
      <c r="B23" s="39">
        <v>3.0</v>
      </c>
      <c r="C23" s="39">
        <v>1.0</v>
      </c>
      <c r="D23" s="39">
        <v>0.0</v>
      </c>
      <c r="E23" s="39">
        <v>2.0</v>
      </c>
      <c r="F23" s="39">
        <v>-2.0</v>
      </c>
      <c r="G23" s="39">
        <f t="shared" si="1"/>
        <v>3</v>
      </c>
      <c r="I23" s="5"/>
      <c r="K23" s="18"/>
      <c r="L23" s="42"/>
    </row>
    <row r="24" ht="15.75" customHeight="1">
      <c r="A24" s="32" t="s">
        <v>61</v>
      </c>
      <c r="B24" s="39">
        <v>4.0</v>
      </c>
      <c r="C24" s="39">
        <v>1.0</v>
      </c>
      <c r="D24" s="39">
        <v>0.0</v>
      </c>
      <c r="E24" s="39">
        <v>3.0</v>
      </c>
      <c r="F24" s="39">
        <v>-5.0</v>
      </c>
      <c r="G24" s="39">
        <f t="shared" si="1"/>
        <v>3</v>
      </c>
      <c r="I24" s="5"/>
      <c r="K24" s="7"/>
      <c r="L24" s="42"/>
    </row>
    <row r="25" ht="15.75" customHeight="1">
      <c r="A25" s="32" t="s">
        <v>67</v>
      </c>
      <c r="B25" s="39">
        <v>4.0</v>
      </c>
      <c r="C25" s="39">
        <v>1.0</v>
      </c>
      <c r="D25" s="39">
        <v>0.0</v>
      </c>
      <c r="E25" s="39">
        <v>3.0</v>
      </c>
      <c r="F25" s="39">
        <v>-7.0</v>
      </c>
      <c r="G25" s="39">
        <f t="shared" si="1"/>
        <v>3</v>
      </c>
      <c r="I25" s="5"/>
      <c r="J25" s="39">
        <f>'League Table'!AZ10</f>
        <v>35</v>
      </c>
      <c r="K25" s="7"/>
      <c r="L25" s="42">
        <f>J25/B25</f>
        <v>8.75</v>
      </c>
    </row>
    <row r="26" ht="15.75" customHeight="1">
      <c r="A26" s="32" t="s">
        <v>60</v>
      </c>
      <c r="B26" s="39">
        <v>4.0</v>
      </c>
      <c r="C26" s="39">
        <v>0.0</v>
      </c>
      <c r="D26" s="39">
        <v>2.0</v>
      </c>
      <c r="E26" s="39">
        <v>2.0</v>
      </c>
      <c r="F26" s="39">
        <v>-3.0</v>
      </c>
      <c r="G26" s="39">
        <f t="shared" si="1"/>
        <v>2</v>
      </c>
      <c r="I26" s="5"/>
      <c r="L26" s="42"/>
    </row>
    <row r="27" ht="15.75" customHeight="1">
      <c r="A27" s="32" t="s">
        <v>95</v>
      </c>
      <c r="B27" s="39">
        <v>1.0</v>
      </c>
      <c r="C27" s="39">
        <v>0.0</v>
      </c>
      <c r="D27" s="39">
        <v>0.0</v>
      </c>
      <c r="E27" s="39">
        <v>1.0</v>
      </c>
      <c r="F27" s="39">
        <v>-1.0</v>
      </c>
      <c r="G27" s="39">
        <f t="shared" si="1"/>
        <v>0</v>
      </c>
      <c r="I27" s="5"/>
      <c r="L27" s="42"/>
    </row>
    <row r="28" ht="15.75" customHeight="1">
      <c r="A28" s="32" t="s">
        <v>85</v>
      </c>
      <c r="B28" s="39">
        <v>1.0</v>
      </c>
      <c r="C28" s="39">
        <v>0.0</v>
      </c>
      <c r="D28" s="39">
        <v>0.0</v>
      </c>
      <c r="E28" s="39">
        <v>1.0</v>
      </c>
      <c r="F28" s="39">
        <v>-1.0</v>
      </c>
      <c r="G28" s="39">
        <f t="shared" si="1"/>
        <v>0</v>
      </c>
      <c r="I28" s="5"/>
      <c r="L28" s="42"/>
    </row>
    <row r="29" ht="15.75" customHeight="1">
      <c r="A29" s="32" t="s">
        <v>87</v>
      </c>
      <c r="B29" s="39">
        <v>1.0</v>
      </c>
      <c r="C29" s="39">
        <v>0.0</v>
      </c>
      <c r="D29" s="39">
        <v>0.0</v>
      </c>
      <c r="E29" s="39">
        <v>1.0</v>
      </c>
      <c r="F29" s="39">
        <v>-3.0</v>
      </c>
      <c r="G29" s="39">
        <f t="shared" si="1"/>
        <v>0</v>
      </c>
      <c r="I29" s="5"/>
      <c r="J29" s="39">
        <f>'League Table'!AZ31</f>
        <v>9</v>
      </c>
      <c r="L29" s="42">
        <f>J29/B29</f>
        <v>9</v>
      </c>
    </row>
    <row r="30" ht="15.75" customHeight="1">
      <c r="A30" s="32" t="s">
        <v>78</v>
      </c>
      <c r="B30" s="39">
        <v>2.0</v>
      </c>
      <c r="C30" s="39">
        <v>0.0</v>
      </c>
      <c r="D30" s="39">
        <v>0.0</v>
      </c>
      <c r="E30" s="39">
        <v>2.0</v>
      </c>
      <c r="F30" s="39">
        <v>-4.0</v>
      </c>
      <c r="G30" s="39">
        <f t="shared" si="1"/>
        <v>0</v>
      </c>
      <c r="I30" s="5"/>
      <c r="L30" s="42"/>
    </row>
    <row r="31" ht="15.75" customHeight="1">
      <c r="A31" s="32" t="s">
        <v>79</v>
      </c>
      <c r="B31" s="39">
        <v>2.0</v>
      </c>
      <c r="C31" s="39">
        <v>0.0</v>
      </c>
      <c r="D31" s="39">
        <v>0.0</v>
      </c>
      <c r="E31" s="39">
        <v>2.0</v>
      </c>
      <c r="F31" s="39">
        <v>-6.0</v>
      </c>
      <c r="G31" s="39">
        <f t="shared" si="1"/>
        <v>0</v>
      </c>
      <c r="J31" s="39">
        <f>'League Table'!AZ25</f>
        <v>13</v>
      </c>
      <c r="L31" s="42">
        <f>J31/B31</f>
        <v>6.5</v>
      </c>
    </row>
    <row r="32" ht="15.75" customHeight="1">
      <c r="A32" s="32" t="s">
        <v>80</v>
      </c>
      <c r="J32" s="39">
        <f>'League Table'!AZ25</f>
        <v>13</v>
      </c>
      <c r="L32" s="42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3:L32">
    <cfRule type="cellIs" dxfId="0" priority="1" operator="greaterThan">
      <formula>9.9</formula>
    </cfRule>
  </conditionalFormatting>
  <conditionalFormatting sqref="L3:L32">
    <cfRule type="cellIs" dxfId="0" priority="2" operator="greaterThan">
      <formula>10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0" width="7.29" outlineLevel="1"/>
    <col customWidth="1" hidden="1" min="51" max="51" width="7.29" outlineLevel="1"/>
    <col customWidth="1" min="52" max="52" width="7.29"/>
    <col customWidth="1" min="53" max="53" width="9.14"/>
    <col customWidth="1" min="54" max="58" width="8.86"/>
  </cols>
  <sheetData>
    <row r="1">
      <c r="A1" s="39" t="s">
        <v>1</v>
      </c>
      <c r="B1" s="39" t="s">
        <v>2</v>
      </c>
      <c r="C1" s="39" t="s">
        <v>3</v>
      </c>
      <c r="D1" s="39" t="s">
        <v>4</v>
      </c>
      <c r="E1" s="39" t="s">
        <v>5</v>
      </c>
      <c r="F1" s="39" t="s">
        <v>6</v>
      </c>
      <c r="G1" s="39" t="s">
        <v>7</v>
      </c>
      <c r="H1" s="39" t="s">
        <v>8</v>
      </c>
      <c r="I1" s="39" t="s">
        <v>9</v>
      </c>
      <c r="J1" s="39" t="s">
        <v>10</v>
      </c>
      <c r="K1" s="39" t="s">
        <v>11</v>
      </c>
      <c r="L1" s="39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39" t="s">
        <v>17</v>
      </c>
      <c r="R1" s="39" t="s">
        <v>18</v>
      </c>
      <c r="S1" s="39" t="s">
        <v>19</v>
      </c>
      <c r="T1" s="39" t="s">
        <v>20</v>
      </c>
      <c r="U1" s="44" t="s">
        <v>21</v>
      </c>
      <c r="V1" s="39" t="s">
        <v>22</v>
      </c>
      <c r="W1" s="39" t="s">
        <v>23</v>
      </c>
      <c r="X1" s="39" t="s">
        <v>24</v>
      </c>
      <c r="Y1" s="39" t="s">
        <v>25</v>
      </c>
      <c r="Z1" s="39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131</v>
      </c>
      <c r="AZ1" s="6"/>
      <c r="BA1" s="5" t="s">
        <v>132</v>
      </c>
      <c r="BB1" s="5" t="s">
        <v>133</v>
      </c>
      <c r="BC1" s="5" t="s">
        <v>134</v>
      </c>
    </row>
    <row r="2">
      <c r="U2" s="44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74</v>
      </c>
      <c r="B3" s="15"/>
      <c r="C3" s="16">
        <v>1.0</v>
      </c>
      <c r="D3" s="16"/>
      <c r="E3" s="16"/>
      <c r="F3" s="16"/>
      <c r="G3" s="16"/>
      <c r="H3" s="16">
        <v>1.0</v>
      </c>
      <c r="I3" s="16"/>
      <c r="J3" s="16">
        <v>1.0</v>
      </c>
      <c r="K3" s="15"/>
      <c r="L3" s="16"/>
      <c r="M3" s="16"/>
      <c r="N3" s="16"/>
      <c r="O3" s="16"/>
      <c r="P3" s="16"/>
      <c r="Q3" s="16">
        <v>3.0</v>
      </c>
      <c r="R3" s="16"/>
      <c r="S3" s="16"/>
      <c r="T3" s="16"/>
      <c r="U3" s="16"/>
      <c r="V3" s="16"/>
      <c r="W3" s="15"/>
      <c r="X3" s="16">
        <v>6.0</v>
      </c>
      <c r="Y3" s="16">
        <v>1.0</v>
      </c>
      <c r="Z3" s="16">
        <v>2.0</v>
      </c>
      <c r="AA3" s="16"/>
      <c r="AB3" s="16"/>
      <c r="AC3" s="16"/>
      <c r="AD3" s="16"/>
      <c r="AE3" s="16"/>
      <c r="AF3" s="16"/>
      <c r="AG3" s="16"/>
      <c r="AH3" s="16"/>
      <c r="AI3" s="16">
        <v>2.0</v>
      </c>
      <c r="AJ3" s="16"/>
      <c r="AK3" s="16"/>
      <c r="AL3" s="16">
        <v>2.0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5"/>
      <c r="AZ3" s="6"/>
      <c r="BA3" s="6">
        <f t="shared" ref="BA3:BA36" si="1">SUM(B3:AY3)</f>
        <v>19</v>
      </c>
      <c r="BB3" s="5">
        <v>2.0</v>
      </c>
      <c r="BC3" s="5">
        <v>2.0</v>
      </c>
    </row>
    <row r="4">
      <c r="A4" s="28" t="s">
        <v>66</v>
      </c>
      <c r="B4" s="30"/>
      <c r="C4" s="30">
        <v>1.0</v>
      </c>
      <c r="D4" s="30">
        <v>1.0</v>
      </c>
      <c r="E4" s="30"/>
      <c r="F4" s="30">
        <v>1.0</v>
      </c>
      <c r="G4" s="30">
        <v>4.0</v>
      </c>
      <c r="H4" s="30">
        <v>1.0</v>
      </c>
      <c r="I4" s="30"/>
      <c r="J4" s="30"/>
      <c r="K4" s="29"/>
      <c r="L4" s="30"/>
      <c r="M4" s="30">
        <v>1.0</v>
      </c>
      <c r="N4" s="30"/>
      <c r="O4" s="30"/>
      <c r="P4" s="30"/>
      <c r="Q4" s="30"/>
      <c r="R4" s="30"/>
      <c r="S4" s="30"/>
      <c r="T4" s="30"/>
      <c r="U4" s="30"/>
      <c r="V4" s="30">
        <v>2.0</v>
      </c>
      <c r="W4" s="29"/>
      <c r="X4" s="30"/>
      <c r="Y4" s="30"/>
      <c r="Z4" s="30">
        <v>1.0</v>
      </c>
      <c r="AA4" s="30"/>
      <c r="AB4" s="30">
        <v>1.0</v>
      </c>
      <c r="AC4" s="30">
        <v>1.0</v>
      </c>
      <c r="AD4" s="30">
        <v>3.0</v>
      </c>
      <c r="AE4" s="30"/>
      <c r="AF4" s="30"/>
      <c r="AG4" s="30"/>
      <c r="AH4" s="30">
        <v>1.0</v>
      </c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>
        <v>1.0</v>
      </c>
      <c r="AT4" s="30"/>
      <c r="AU4" s="30"/>
      <c r="AV4" s="30"/>
      <c r="AW4" s="30"/>
      <c r="AX4" s="30"/>
      <c r="AY4" s="26"/>
      <c r="AZ4" s="6"/>
      <c r="BA4" s="6">
        <f t="shared" si="1"/>
        <v>19</v>
      </c>
      <c r="BB4" s="5">
        <v>1.0</v>
      </c>
      <c r="BC4" s="5"/>
    </row>
    <row r="5">
      <c r="A5" s="28" t="s">
        <v>65</v>
      </c>
      <c r="B5" s="25"/>
      <c r="C5" s="26"/>
      <c r="D5" s="26"/>
      <c r="E5" s="26">
        <v>1.0</v>
      </c>
      <c r="F5" s="26"/>
      <c r="G5" s="26"/>
      <c r="H5" s="26">
        <v>1.0</v>
      </c>
      <c r="I5" s="26"/>
      <c r="J5" s="26">
        <v>1.0</v>
      </c>
      <c r="K5" s="25"/>
      <c r="L5" s="26"/>
      <c r="M5" s="26">
        <v>2.0</v>
      </c>
      <c r="N5" s="26"/>
      <c r="O5" s="26">
        <v>1.0</v>
      </c>
      <c r="P5" s="26"/>
      <c r="Q5" s="26"/>
      <c r="R5" s="26"/>
      <c r="S5" s="26"/>
      <c r="T5" s="26">
        <v>1.0</v>
      </c>
      <c r="U5" s="26"/>
      <c r="V5" s="26"/>
      <c r="W5" s="25"/>
      <c r="X5" s="26"/>
      <c r="Y5" s="26"/>
      <c r="Z5" s="26"/>
      <c r="AA5" s="26">
        <v>2.0</v>
      </c>
      <c r="AB5" s="26"/>
      <c r="AC5" s="26"/>
      <c r="AD5" s="26"/>
      <c r="AE5" s="26">
        <v>1.0</v>
      </c>
      <c r="AF5" s="26">
        <v>2.0</v>
      </c>
      <c r="AG5" s="26">
        <v>2.0</v>
      </c>
      <c r="AH5" s="26"/>
      <c r="AI5" s="26"/>
      <c r="AJ5" s="26"/>
      <c r="AK5" s="26">
        <v>1.0</v>
      </c>
      <c r="AL5" s="26"/>
      <c r="AM5" s="26"/>
      <c r="AN5" s="26">
        <v>1.0</v>
      </c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6"/>
      <c r="BA5" s="6">
        <f t="shared" si="1"/>
        <v>16</v>
      </c>
      <c r="BB5" s="5"/>
      <c r="BC5" s="5">
        <v>2.0</v>
      </c>
    </row>
    <row r="6">
      <c r="A6" s="24" t="s">
        <v>71</v>
      </c>
      <c r="B6" s="26"/>
      <c r="C6" s="26">
        <v>1.0</v>
      </c>
      <c r="D6" s="26"/>
      <c r="E6" s="26"/>
      <c r="F6" s="26">
        <v>3.0</v>
      </c>
      <c r="G6" s="26"/>
      <c r="H6" s="26">
        <v>1.0</v>
      </c>
      <c r="I6" s="26"/>
      <c r="J6" s="26">
        <v>4.0</v>
      </c>
      <c r="K6" s="25"/>
      <c r="L6" s="26">
        <v>1.0</v>
      </c>
      <c r="M6" s="26">
        <v>1.0</v>
      </c>
      <c r="N6" s="26">
        <v>1.0</v>
      </c>
      <c r="O6" s="26"/>
      <c r="P6" s="26"/>
      <c r="Q6" s="26"/>
      <c r="R6" s="26"/>
      <c r="S6" s="26"/>
      <c r="T6" s="26"/>
      <c r="U6" s="26"/>
      <c r="V6" s="26"/>
      <c r="W6" s="25"/>
      <c r="X6" s="26"/>
      <c r="Y6" s="26"/>
      <c r="Z6" s="26"/>
      <c r="AA6" s="26"/>
      <c r="AB6" s="26"/>
      <c r="AC6" s="26">
        <v>1.0</v>
      </c>
      <c r="AD6" s="26">
        <v>1.0</v>
      </c>
      <c r="AE6" s="26"/>
      <c r="AF6" s="26"/>
      <c r="AG6" s="26"/>
      <c r="AH6" s="26"/>
      <c r="AI6" s="26"/>
      <c r="AJ6" s="26">
        <v>1.0</v>
      </c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6"/>
      <c r="BA6" s="6">
        <f t="shared" si="1"/>
        <v>15</v>
      </c>
      <c r="BB6" s="5">
        <v>2.0</v>
      </c>
      <c r="BC6" s="5"/>
    </row>
    <row r="7">
      <c r="A7" s="32" t="s">
        <v>70</v>
      </c>
      <c r="B7" s="26"/>
      <c r="C7" s="26"/>
      <c r="D7" s="26">
        <v>1.0</v>
      </c>
      <c r="E7" s="26"/>
      <c r="F7" s="26"/>
      <c r="G7" s="26">
        <v>1.0</v>
      </c>
      <c r="H7" s="26"/>
      <c r="I7" s="26">
        <v>7.0</v>
      </c>
      <c r="J7" s="26"/>
      <c r="K7" s="25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5"/>
      <c r="X7" s="26"/>
      <c r="Y7" s="26"/>
      <c r="Z7" s="26"/>
      <c r="AA7" s="26"/>
      <c r="AB7" s="26"/>
      <c r="AC7" s="26">
        <v>1.0</v>
      </c>
      <c r="AD7" s="26"/>
      <c r="AE7" s="26">
        <v>1.0</v>
      </c>
      <c r="AF7" s="26"/>
      <c r="AG7" s="26"/>
      <c r="AH7" s="26"/>
      <c r="AI7" s="26"/>
      <c r="AJ7" s="26"/>
      <c r="AK7" s="26"/>
      <c r="AL7" s="26">
        <v>1.0</v>
      </c>
      <c r="AM7" s="26"/>
      <c r="AN7" s="26">
        <v>1.0</v>
      </c>
      <c r="AO7" s="26"/>
      <c r="AP7" s="26"/>
      <c r="AQ7" s="26">
        <v>2.0</v>
      </c>
      <c r="AR7" s="26"/>
      <c r="AS7" s="26"/>
      <c r="AT7" s="26"/>
      <c r="AU7" s="26"/>
      <c r="AV7" s="26"/>
      <c r="AW7" s="26"/>
      <c r="AX7" s="26"/>
      <c r="AY7" s="26"/>
      <c r="AZ7" s="6"/>
      <c r="BA7" s="6">
        <f t="shared" si="1"/>
        <v>15</v>
      </c>
      <c r="BB7" s="5">
        <v>1.0</v>
      </c>
      <c r="BC7" s="5"/>
    </row>
    <row r="8">
      <c r="A8" s="28" t="s">
        <v>72</v>
      </c>
      <c r="B8" s="25"/>
      <c r="C8" s="26"/>
      <c r="D8" s="26"/>
      <c r="E8" s="26">
        <v>1.0</v>
      </c>
      <c r="F8" s="26"/>
      <c r="G8" s="26"/>
      <c r="H8" s="26"/>
      <c r="I8" s="26"/>
      <c r="J8" s="26"/>
      <c r="K8" s="25"/>
      <c r="L8" s="26"/>
      <c r="M8" s="26">
        <v>1.0</v>
      </c>
      <c r="N8" s="26"/>
      <c r="O8" s="26"/>
      <c r="P8" s="26"/>
      <c r="Q8" s="26"/>
      <c r="R8" s="26"/>
      <c r="S8" s="26">
        <v>2.0</v>
      </c>
      <c r="T8" s="26"/>
      <c r="U8" s="26"/>
      <c r="V8" s="26"/>
      <c r="W8" s="25"/>
      <c r="X8" s="26">
        <v>1.0</v>
      </c>
      <c r="Y8" s="26">
        <v>2.0</v>
      </c>
      <c r="Z8" s="26"/>
      <c r="AA8" s="26"/>
      <c r="AB8" s="26">
        <v>1.0</v>
      </c>
      <c r="AC8" s="26"/>
      <c r="AD8" s="26"/>
      <c r="AE8" s="26">
        <v>1.0</v>
      </c>
      <c r="AF8" s="26"/>
      <c r="AG8" s="26"/>
      <c r="AH8" s="26"/>
      <c r="AI8" s="26"/>
      <c r="AJ8" s="26"/>
      <c r="AK8" s="26">
        <v>2.0</v>
      </c>
      <c r="AL8" s="26"/>
      <c r="AM8" s="26">
        <v>1.0</v>
      </c>
      <c r="AN8" s="26"/>
      <c r="AO8" s="26">
        <v>2.0</v>
      </c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6"/>
      <c r="BA8" s="6">
        <f t="shared" si="1"/>
        <v>14</v>
      </c>
      <c r="BB8" s="5">
        <v>1.0</v>
      </c>
      <c r="BC8" s="5">
        <v>2.0</v>
      </c>
    </row>
    <row r="9">
      <c r="A9" s="28" t="s">
        <v>60</v>
      </c>
      <c r="B9" s="25"/>
      <c r="C9" s="26"/>
      <c r="D9" s="26">
        <v>1.0</v>
      </c>
      <c r="E9" s="26"/>
      <c r="F9" s="26"/>
      <c r="G9" s="26"/>
      <c r="H9" s="26"/>
      <c r="I9" s="26"/>
      <c r="J9" s="26"/>
      <c r="K9" s="25"/>
      <c r="L9" s="26"/>
      <c r="M9" s="26"/>
      <c r="N9" s="26"/>
      <c r="O9" s="26">
        <v>1.0</v>
      </c>
      <c r="P9" s="26"/>
      <c r="Q9" s="26">
        <v>1.0</v>
      </c>
      <c r="R9" s="26"/>
      <c r="S9" s="26"/>
      <c r="T9" s="26"/>
      <c r="U9" s="26">
        <v>1.0</v>
      </c>
      <c r="V9" s="26">
        <v>3.0</v>
      </c>
      <c r="W9" s="25"/>
      <c r="X9" s="26"/>
      <c r="Y9" s="26"/>
      <c r="Z9" s="26">
        <v>1.0</v>
      </c>
      <c r="AA9" s="26"/>
      <c r="AB9" s="26"/>
      <c r="AC9" s="26"/>
      <c r="AD9" s="26">
        <v>1.0</v>
      </c>
      <c r="AE9" s="26"/>
      <c r="AF9" s="26"/>
      <c r="AG9" s="26"/>
      <c r="AH9" s="26"/>
      <c r="AI9" s="26">
        <v>2.0</v>
      </c>
      <c r="AJ9" s="26"/>
      <c r="AK9" s="26"/>
      <c r="AL9" s="26"/>
      <c r="AM9" s="26">
        <v>1.0</v>
      </c>
      <c r="AN9" s="26"/>
      <c r="AO9" s="26"/>
      <c r="AP9" s="26">
        <v>1.0</v>
      </c>
      <c r="AQ9" s="26">
        <v>1.0</v>
      </c>
      <c r="AR9" s="26"/>
      <c r="AS9" s="26"/>
      <c r="AT9" s="26"/>
      <c r="AU9" s="26"/>
      <c r="AV9" s="26"/>
      <c r="AW9" s="26"/>
      <c r="AX9" s="26"/>
      <c r="AY9" s="26"/>
      <c r="AZ9" s="6"/>
      <c r="BA9" s="6">
        <f t="shared" si="1"/>
        <v>14</v>
      </c>
      <c r="BB9" s="5">
        <v>1.0</v>
      </c>
      <c r="BC9" s="5">
        <v>2.0</v>
      </c>
    </row>
    <row r="10">
      <c r="A10" s="32" t="s">
        <v>59</v>
      </c>
      <c r="B10" s="26"/>
      <c r="C10" s="26"/>
      <c r="D10" s="26"/>
      <c r="E10" s="26"/>
      <c r="F10" s="26"/>
      <c r="G10" s="26">
        <v>2.0</v>
      </c>
      <c r="H10" s="26"/>
      <c r="I10" s="26"/>
      <c r="J10" s="26"/>
      <c r="K10" s="25"/>
      <c r="L10" s="26">
        <v>3.0</v>
      </c>
      <c r="M10" s="26"/>
      <c r="N10" s="26"/>
      <c r="O10" s="26">
        <v>1.0</v>
      </c>
      <c r="P10" s="26"/>
      <c r="Q10" s="26"/>
      <c r="R10" s="26"/>
      <c r="S10" s="26"/>
      <c r="T10" s="26"/>
      <c r="U10" s="26"/>
      <c r="V10" s="26"/>
      <c r="W10" s="25"/>
      <c r="X10" s="26"/>
      <c r="Y10" s="26"/>
      <c r="Z10" s="26"/>
      <c r="AA10" s="26">
        <v>1.0</v>
      </c>
      <c r="AB10" s="26"/>
      <c r="AC10" s="26"/>
      <c r="AD10" s="26"/>
      <c r="AE10" s="26">
        <v>1.0</v>
      </c>
      <c r="AF10" s="26"/>
      <c r="AG10" s="26">
        <v>1.0</v>
      </c>
      <c r="AH10" s="26">
        <v>1.0</v>
      </c>
      <c r="AI10" s="26"/>
      <c r="AJ10" s="26"/>
      <c r="AK10" s="26">
        <v>1.0</v>
      </c>
      <c r="AL10" s="26">
        <v>1.0</v>
      </c>
      <c r="AM10" s="26">
        <v>1.0</v>
      </c>
      <c r="AN10" s="26"/>
      <c r="AO10" s="26"/>
      <c r="AP10" s="26"/>
      <c r="AQ10" s="26"/>
      <c r="AR10" s="26">
        <v>1.0</v>
      </c>
      <c r="AS10" s="26"/>
      <c r="AT10" s="26"/>
      <c r="AU10" s="26"/>
      <c r="AV10" s="26"/>
      <c r="AW10" s="26"/>
      <c r="AX10" s="26"/>
      <c r="AY10" s="26"/>
      <c r="AZ10" s="6"/>
      <c r="BA10" s="6">
        <f t="shared" si="1"/>
        <v>14</v>
      </c>
      <c r="BB10" s="5">
        <v>1.0</v>
      </c>
      <c r="BC10" s="5"/>
    </row>
    <row r="11">
      <c r="A11" s="32" t="s">
        <v>75</v>
      </c>
      <c r="B11" s="26"/>
      <c r="C11" s="26">
        <v>2.0</v>
      </c>
      <c r="D11" s="26">
        <v>3.0</v>
      </c>
      <c r="E11" s="26"/>
      <c r="F11" s="26"/>
      <c r="G11" s="26"/>
      <c r="H11" s="26"/>
      <c r="I11" s="26"/>
      <c r="J11" s="26"/>
      <c r="K11" s="25"/>
      <c r="L11" s="26"/>
      <c r="M11" s="26">
        <v>2.0</v>
      </c>
      <c r="N11" s="26">
        <v>1.0</v>
      </c>
      <c r="O11" s="26"/>
      <c r="P11" s="26">
        <v>1.0</v>
      </c>
      <c r="Q11" s="26"/>
      <c r="R11" s="26">
        <v>1.0</v>
      </c>
      <c r="S11" s="26">
        <v>2.0</v>
      </c>
      <c r="T11" s="26"/>
      <c r="U11" s="26"/>
      <c r="V11" s="26"/>
      <c r="W11" s="25"/>
      <c r="X11" s="26"/>
      <c r="Y11" s="26"/>
      <c r="Z11" s="26"/>
      <c r="AA11" s="26"/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>
        <v>1.0</v>
      </c>
      <c r="AQ11" s="26"/>
      <c r="AR11" s="26"/>
      <c r="AS11" s="26"/>
      <c r="AT11" s="26"/>
      <c r="AU11" s="26"/>
      <c r="AV11" s="26"/>
      <c r="AW11" s="26"/>
      <c r="AX11" s="26"/>
      <c r="AY11" s="26"/>
      <c r="AZ11" s="6"/>
      <c r="BA11" s="6">
        <f t="shared" si="1"/>
        <v>14</v>
      </c>
      <c r="BB11" s="5"/>
      <c r="BC11" s="5">
        <v>5.0</v>
      </c>
    </row>
    <row r="12">
      <c r="A12" s="32" t="s">
        <v>64</v>
      </c>
      <c r="B12" s="25"/>
      <c r="C12" s="26"/>
      <c r="D12" s="26"/>
      <c r="E12" s="26"/>
      <c r="F12" s="26"/>
      <c r="G12" s="26"/>
      <c r="H12" s="26"/>
      <c r="I12" s="26"/>
      <c r="J12" s="26"/>
      <c r="K12" s="25"/>
      <c r="L12" s="26"/>
      <c r="M12" s="26"/>
      <c r="N12" s="26"/>
      <c r="O12" s="26">
        <v>1.0</v>
      </c>
      <c r="P12" s="26"/>
      <c r="Q12" s="26"/>
      <c r="R12" s="26"/>
      <c r="S12" s="26"/>
      <c r="T12" s="26">
        <v>3.0</v>
      </c>
      <c r="U12" s="26"/>
      <c r="V12" s="26"/>
      <c r="W12" s="25"/>
      <c r="X12" s="26"/>
      <c r="Y12" s="26"/>
      <c r="Z12" s="26"/>
      <c r="AA12" s="26">
        <v>4.0</v>
      </c>
      <c r="AB12" s="26"/>
      <c r="AC12" s="26"/>
      <c r="AD12" s="26"/>
      <c r="AE12" s="26"/>
      <c r="AF12" s="26"/>
      <c r="AG12" s="26"/>
      <c r="AH12" s="26">
        <v>1.0</v>
      </c>
      <c r="AI12" s="26"/>
      <c r="AJ12" s="26">
        <v>4.0</v>
      </c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6"/>
      <c r="BA12" s="6">
        <f t="shared" si="1"/>
        <v>13</v>
      </c>
      <c r="BB12" s="5">
        <v>3.0</v>
      </c>
      <c r="BC12" s="5">
        <v>1.0</v>
      </c>
    </row>
    <row r="13">
      <c r="A13" s="32" t="s">
        <v>67</v>
      </c>
      <c r="B13" s="25"/>
      <c r="C13" s="26">
        <v>1.0</v>
      </c>
      <c r="D13" s="26"/>
      <c r="E13" s="26"/>
      <c r="F13" s="26"/>
      <c r="G13" s="26"/>
      <c r="H13" s="26"/>
      <c r="I13" s="26"/>
      <c r="J13" s="26">
        <v>2.0</v>
      </c>
      <c r="K13" s="25"/>
      <c r="L13" s="26"/>
      <c r="M13" s="26"/>
      <c r="N13" s="26">
        <v>1.0</v>
      </c>
      <c r="O13" s="26">
        <v>2.0</v>
      </c>
      <c r="P13" s="26"/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>
        <v>3.0</v>
      </c>
      <c r="AC13" s="26"/>
      <c r="AD13" s="26"/>
      <c r="AE13" s="26"/>
      <c r="AF13" s="26"/>
      <c r="AG13" s="26"/>
      <c r="AH13" s="26"/>
      <c r="AI13" s="26"/>
      <c r="AJ13" s="26"/>
      <c r="AK13" s="26"/>
      <c r="AL13" s="26">
        <v>3.0</v>
      </c>
      <c r="AM13" s="26"/>
      <c r="AN13" s="26"/>
      <c r="AO13" s="26"/>
      <c r="AP13" s="26">
        <v>1.0</v>
      </c>
      <c r="AQ13" s="26"/>
      <c r="AR13" s="26"/>
      <c r="AS13" s="26"/>
      <c r="AT13" s="26"/>
      <c r="AU13" s="26"/>
      <c r="AV13" s="26"/>
      <c r="AW13" s="26"/>
      <c r="AX13" s="26"/>
      <c r="AY13" s="26"/>
      <c r="AZ13" s="6"/>
      <c r="BA13" s="6">
        <f t="shared" si="1"/>
        <v>13</v>
      </c>
      <c r="BB13" s="5">
        <v>3.0</v>
      </c>
      <c r="BC13" s="5">
        <v>1.0</v>
      </c>
      <c r="BF13" s="6"/>
    </row>
    <row r="14">
      <c r="A14" s="32" t="s">
        <v>135</v>
      </c>
      <c r="B14" s="25"/>
      <c r="C14" s="26"/>
      <c r="D14" s="26"/>
      <c r="E14" s="26"/>
      <c r="F14" s="26"/>
      <c r="G14" s="26"/>
      <c r="H14" s="26"/>
      <c r="I14" s="26"/>
      <c r="J14" s="26"/>
      <c r="K14" s="25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>
        <v>1.0</v>
      </c>
      <c r="Z14" s="26"/>
      <c r="AA14" s="26">
        <v>1.0</v>
      </c>
      <c r="AB14" s="26"/>
      <c r="AC14" s="26"/>
      <c r="AD14" s="26">
        <v>2.0</v>
      </c>
      <c r="AE14" s="26">
        <v>1.0</v>
      </c>
      <c r="AF14" s="26"/>
      <c r="AG14" s="26"/>
      <c r="AH14" s="26">
        <v>2.0</v>
      </c>
      <c r="AI14" s="26">
        <v>1.0</v>
      </c>
      <c r="AJ14" s="26"/>
      <c r="AK14" s="26"/>
      <c r="AL14" s="26"/>
      <c r="AM14" s="26"/>
      <c r="AN14" s="26">
        <v>2.0</v>
      </c>
      <c r="AO14" s="26">
        <v>3.0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6"/>
      <c r="BA14" s="6">
        <f t="shared" si="1"/>
        <v>13</v>
      </c>
      <c r="BB14" s="5">
        <v>1.0</v>
      </c>
      <c r="BC14" s="5">
        <v>2.0</v>
      </c>
    </row>
    <row r="15">
      <c r="A15" s="32" t="s">
        <v>82</v>
      </c>
      <c r="B15" s="25"/>
      <c r="C15" s="26"/>
      <c r="D15" s="26"/>
      <c r="E15" s="26">
        <v>1.0</v>
      </c>
      <c r="F15" s="26">
        <v>1.0</v>
      </c>
      <c r="G15" s="26"/>
      <c r="H15" s="26">
        <v>1.0</v>
      </c>
      <c r="I15" s="26"/>
      <c r="J15" s="26"/>
      <c r="K15" s="25"/>
      <c r="L15" s="26"/>
      <c r="M15" s="26"/>
      <c r="N15" s="26"/>
      <c r="O15" s="26">
        <v>1.0</v>
      </c>
      <c r="P15" s="26"/>
      <c r="Q15" s="26"/>
      <c r="R15" s="26">
        <v>1.0</v>
      </c>
      <c r="S15" s="26"/>
      <c r="T15" s="26">
        <v>1.0</v>
      </c>
      <c r="U15" s="26">
        <v>3.0</v>
      </c>
      <c r="V15" s="26"/>
      <c r="W15" s="25"/>
      <c r="X15" s="26"/>
      <c r="Y15" s="26"/>
      <c r="Z15" s="26"/>
      <c r="AA15" s="26"/>
      <c r="AB15" s="26"/>
      <c r="AC15" s="26"/>
      <c r="AD15" s="26"/>
      <c r="AE15" s="26">
        <v>1.0</v>
      </c>
      <c r="AF15" s="26"/>
      <c r="AG15" s="26"/>
      <c r="AH15" s="26"/>
      <c r="AI15" s="26">
        <v>1.0</v>
      </c>
      <c r="AJ15" s="26"/>
      <c r="AK15" s="26"/>
      <c r="AL15" s="26"/>
      <c r="AM15" s="26"/>
      <c r="AN15" s="26"/>
      <c r="AO15" s="26"/>
      <c r="AP15" s="26"/>
      <c r="AQ15" s="26">
        <v>1.0</v>
      </c>
      <c r="AR15" s="26"/>
      <c r="AS15" s="26"/>
      <c r="AT15" s="26"/>
      <c r="AU15" s="26"/>
      <c r="AV15" s="26"/>
      <c r="AW15" s="26"/>
      <c r="AX15" s="26"/>
      <c r="AY15" s="26"/>
      <c r="AZ15" s="6"/>
      <c r="BA15" s="6">
        <f t="shared" si="1"/>
        <v>12</v>
      </c>
      <c r="BB15" s="5">
        <v>1.0</v>
      </c>
      <c r="BC15" s="5"/>
    </row>
    <row r="16">
      <c r="A16" s="32" t="s">
        <v>63</v>
      </c>
      <c r="B16" s="25"/>
      <c r="C16" s="26"/>
      <c r="D16" s="26"/>
      <c r="E16" s="26"/>
      <c r="F16" s="26"/>
      <c r="G16" s="26"/>
      <c r="H16" s="26">
        <v>2.0</v>
      </c>
      <c r="I16" s="26"/>
      <c r="J16" s="26"/>
      <c r="K16" s="25"/>
      <c r="L16" s="26"/>
      <c r="M16" s="26"/>
      <c r="N16" s="26"/>
      <c r="O16" s="26"/>
      <c r="P16" s="26">
        <v>2.0</v>
      </c>
      <c r="Q16" s="26"/>
      <c r="R16" s="26">
        <v>1.0</v>
      </c>
      <c r="S16" s="26">
        <v>2.0</v>
      </c>
      <c r="T16" s="26"/>
      <c r="U16" s="26">
        <v>1.0</v>
      </c>
      <c r="V16" s="26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>
        <v>1.0</v>
      </c>
      <c r="AH16" s="26"/>
      <c r="AI16" s="26"/>
      <c r="AJ16" s="26"/>
      <c r="AK16" s="26"/>
      <c r="AL16" s="26"/>
      <c r="AM16" s="26"/>
      <c r="AN16" s="26">
        <v>1.0</v>
      </c>
      <c r="AO16" s="26"/>
      <c r="AP16" s="26">
        <v>1.0</v>
      </c>
      <c r="AQ16" s="26"/>
      <c r="AR16" s="26"/>
      <c r="AS16" s="26">
        <v>1.0</v>
      </c>
      <c r="AT16" s="26"/>
      <c r="AU16" s="26"/>
      <c r="AV16" s="26"/>
      <c r="AW16" s="26"/>
      <c r="AX16" s="26"/>
      <c r="AY16" s="26"/>
      <c r="AZ16" s="6"/>
      <c r="BA16" s="6">
        <f t="shared" si="1"/>
        <v>12</v>
      </c>
      <c r="BB16" s="5"/>
      <c r="BC16" s="5">
        <v>4.0</v>
      </c>
    </row>
    <row r="17">
      <c r="A17" s="32" t="s">
        <v>130</v>
      </c>
      <c r="B17" s="25"/>
      <c r="C17" s="26"/>
      <c r="D17" s="26"/>
      <c r="E17" s="26"/>
      <c r="F17" s="26"/>
      <c r="G17" s="26"/>
      <c r="H17" s="26"/>
      <c r="I17" s="26">
        <v>1.0</v>
      </c>
      <c r="J17" s="26"/>
      <c r="K17" s="25"/>
      <c r="L17" s="26"/>
      <c r="M17" s="26"/>
      <c r="N17" s="26">
        <v>4.0</v>
      </c>
      <c r="O17" s="26"/>
      <c r="P17" s="26">
        <v>2.0</v>
      </c>
      <c r="Q17" s="26"/>
      <c r="R17" s="26"/>
      <c r="S17" s="26">
        <v>1.0</v>
      </c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>
        <v>1.0</v>
      </c>
      <c r="AJ17" s="26"/>
      <c r="AK17" s="26"/>
      <c r="AL17" s="26"/>
      <c r="AM17" s="26"/>
      <c r="AN17" s="26"/>
      <c r="AO17" s="26">
        <v>2.0</v>
      </c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6"/>
      <c r="BA17" s="6">
        <f t="shared" si="1"/>
        <v>11</v>
      </c>
      <c r="BB17" s="5"/>
      <c r="BC17" s="5">
        <v>1.0</v>
      </c>
    </row>
    <row r="18">
      <c r="A18" s="32" t="s">
        <v>78</v>
      </c>
      <c r="B18" s="25"/>
      <c r="C18" s="26"/>
      <c r="D18" s="26"/>
      <c r="E18" s="26">
        <v>2.0</v>
      </c>
      <c r="F18" s="26"/>
      <c r="G18" s="26"/>
      <c r="H18" s="26">
        <v>2.0</v>
      </c>
      <c r="I18" s="26"/>
      <c r="J18" s="26"/>
      <c r="K18" s="25"/>
      <c r="L18" s="26"/>
      <c r="M18" s="26"/>
      <c r="N18" s="26"/>
      <c r="O18" s="26"/>
      <c r="P18" s="26"/>
      <c r="Q18" s="26"/>
      <c r="R18" s="26">
        <v>2.0</v>
      </c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>
        <v>1.0</v>
      </c>
      <c r="AM18" s="26"/>
      <c r="AN18" s="26"/>
      <c r="AO18" s="26">
        <v>1.0</v>
      </c>
      <c r="AP18" s="26"/>
      <c r="AQ18" s="26">
        <v>1.0</v>
      </c>
      <c r="AR18" s="26">
        <v>1.0</v>
      </c>
      <c r="AS18" s="26"/>
      <c r="AT18" s="26"/>
      <c r="AU18" s="26"/>
      <c r="AV18" s="26"/>
      <c r="AW18" s="26"/>
      <c r="AX18" s="26"/>
      <c r="AY18" s="26"/>
      <c r="AZ18" s="6"/>
      <c r="BA18" s="6">
        <f t="shared" si="1"/>
        <v>10</v>
      </c>
      <c r="BB18" s="5">
        <v>2.0</v>
      </c>
      <c r="BC18" s="5">
        <v>1.0</v>
      </c>
    </row>
    <row r="19">
      <c r="A19" s="32" t="s">
        <v>86</v>
      </c>
      <c r="B19" s="25"/>
      <c r="C19" s="26"/>
      <c r="D19" s="26">
        <v>3.0</v>
      </c>
      <c r="E19" s="26"/>
      <c r="F19" s="26">
        <v>1.0</v>
      </c>
      <c r="G19" s="26"/>
      <c r="H19" s="26"/>
      <c r="I19" s="26"/>
      <c r="J19" s="26"/>
      <c r="K19" s="25"/>
      <c r="L19" s="26"/>
      <c r="M19" s="26"/>
      <c r="N19" s="26">
        <v>1.0</v>
      </c>
      <c r="O19" s="26"/>
      <c r="P19" s="26"/>
      <c r="Q19" s="26"/>
      <c r="R19" s="26"/>
      <c r="S19" s="26"/>
      <c r="T19" s="26">
        <v>2.0</v>
      </c>
      <c r="U19" s="45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>
        <v>1.0</v>
      </c>
      <c r="AJ19" s="26"/>
      <c r="AK19" s="26"/>
      <c r="AL19" s="26"/>
      <c r="AM19" s="26"/>
      <c r="AN19" s="26"/>
      <c r="AO19" s="26"/>
      <c r="AP19" s="26"/>
      <c r="AQ19" s="26"/>
      <c r="AR19" s="26">
        <v>2.0</v>
      </c>
      <c r="AS19" s="26"/>
      <c r="AT19" s="26"/>
      <c r="AU19" s="26"/>
      <c r="AV19" s="26"/>
      <c r="AW19" s="26"/>
      <c r="AX19" s="26"/>
      <c r="AY19" s="26"/>
      <c r="AZ19" s="6"/>
      <c r="BA19" s="6">
        <f t="shared" si="1"/>
        <v>10</v>
      </c>
      <c r="BB19" s="5">
        <v>1.0</v>
      </c>
      <c r="BC19" s="5">
        <v>1.0</v>
      </c>
      <c r="BF19" s="6"/>
    </row>
    <row r="20">
      <c r="A20" s="32" t="s">
        <v>68</v>
      </c>
      <c r="B20" s="25"/>
      <c r="C20" s="26">
        <v>1.0</v>
      </c>
      <c r="D20" s="26"/>
      <c r="E20" s="26"/>
      <c r="F20" s="26"/>
      <c r="G20" s="26">
        <v>1.0</v>
      </c>
      <c r="H20" s="26"/>
      <c r="I20" s="26"/>
      <c r="J20" s="26"/>
      <c r="K20" s="25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5"/>
      <c r="X20" s="26"/>
      <c r="Y20" s="26"/>
      <c r="Z20" s="26">
        <v>1.0</v>
      </c>
      <c r="AA20" s="26"/>
      <c r="AB20" s="26"/>
      <c r="AC20" s="26"/>
      <c r="AD20" s="26"/>
      <c r="AE20" s="26">
        <v>2.0</v>
      </c>
      <c r="AF20" s="26"/>
      <c r="AG20" s="26"/>
      <c r="AH20" s="26"/>
      <c r="AI20" s="26">
        <v>1.0</v>
      </c>
      <c r="AJ20" s="26"/>
      <c r="AK20" s="26"/>
      <c r="AL20" s="26"/>
      <c r="AM20" s="26">
        <v>1.0</v>
      </c>
      <c r="AN20" s="26"/>
      <c r="AO20" s="26"/>
      <c r="AP20" s="26">
        <v>1.0</v>
      </c>
      <c r="AQ20" s="26">
        <v>1.0</v>
      </c>
      <c r="AR20" s="26"/>
      <c r="AS20" s="26">
        <v>1.0</v>
      </c>
      <c r="AT20" s="26"/>
      <c r="AU20" s="26"/>
      <c r="AV20" s="26"/>
      <c r="AW20" s="26"/>
      <c r="AX20" s="26"/>
      <c r="AY20" s="26"/>
      <c r="AZ20" s="6"/>
      <c r="BA20" s="6">
        <f t="shared" si="1"/>
        <v>10</v>
      </c>
      <c r="BB20" s="5">
        <v>1.0</v>
      </c>
      <c r="BC20" s="5">
        <v>1.0</v>
      </c>
    </row>
    <row r="21" ht="15.75" customHeight="1">
      <c r="A21" s="32" t="s">
        <v>61</v>
      </c>
      <c r="B21" s="25"/>
      <c r="C21" s="26"/>
      <c r="D21" s="26"/>
      <c r="E21" s="26"/>
      <c r="F21" s="26"/>
      <c r="G21" s="26"/>
      <c r="H21" s="26"/>
      <c r="I21" s="26">
        <v>1.0</v>
      </c>
      <c r="J21" s="26"/>
      <c r="K21" s="25"/>
      <c r="L21" s="26"/>
      <c r="M21" s="26"/>
      <c r="N21" s="26"/>
      <c r="O21" s="26"/>
      <c r="P21" s="26">
        <v>1.0</v>
      </c>
      <c r="Q21" s="26"/>
      <c r="R21" s="26"/>
      <c r="S21" s="26"/>
      <c r="T21" s="26"/>
      <c r="U21" s="26"/>
      <c r="V21" s="26"/>
      <c r="W21" s="25"/>
      <c r="X21" s="26">
        <v>1.0</v>
      </c>
      <c r="Y21" s="26"/>
      <c r="Z21" s="26"/>
      <c r="AA21" s="26"/>
      <c r="AB21" s="26"/>
      <c r="AC21" s="26"/>
      <c r="AD21" s="26"/>
      <c r="AE21" s="26"/>
      <c r="AF21" s="26">
        <v>3.0</v>
      </c>
      <c r="AG21" s="26"/>
      <c r="AH21" s="26"/>
      <c r="AI21" s="26"/>
      <c r="AJ21" s="26"/>
      <c r="AK21" s="26">
        <v>1.0</v>
      </c>
      <c r="AL21" s="26"/>
      <c r="AM21" s="26">
        <v>1.0</v>
      </c>
      <c r="AN21" s="26">
        <v>2.0</v>
      </c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6"/>
      <c r="BA21" s="6">
        <f t="shared" si="1"/>
        <v>10</v>
      </c>
      <c r="BB21" s="5"/>
      <c r="BC21" s="5">
        <v>2.0</v>
      </c>
    </row>
    <row r="22" ht="15.75" customHeight="1">
      <c r="A22" s="32" t="s">
        <v>62</v>
      </c>
      <c r="B22" s="25"/>
      <c r="C22" s="26"/>
      <c r="D22" s="26"/>
      <c r="E22" s="26"/>
      <c r="F22" s="26"/>
      <c r="G22" s="26"/>
      <c r="H22" s="26">
        <v>1.0</v>
      </c>
      <c r="I22" s="26">
        <v>1.0</v>
      </c>
      <c r="J22" s="26"/>
      <c r="K22" s="25"/>
      <c r="L22" s="26"/>
      <c r="M22" s="26"/>
      <c r="N22" s="26"/>
      <c r="O22" s="26">
        <v>1.0</v>
      </c>
      <c r="P22" s="26"/>
      <c r="Q22" s="26"/>
      <c r="R22" s="26"/>
      <c r="S22" s="26"/>
      <c r="T22" s="26"/>
      <c r="U22" s="26">
        <v>1.0</v>
      </c>
      <c r="V22" s="26"/>
      <c r="W22" s="25"/>
      <c r="X22" s="26"/>
      <c r="Y22" s="26"/>
      <c r="Z22" s="26"/>
      <c r="AA22" s="26"/>
      <c r="AB22" s="26">
        <v>2.0</v>
      </c>
      <c r="AC22" s="26"/>
      <c r="AD22" s="26"/>
      <c r="AE22" s="26"/>
      <c r="AF22" s="26"/>
      <c r="AG22" s="26"/>
      <c r="AH22" s="26">
        <v>1.0</v>
      </c>
      <c r="AI22" s="26"/>
      <c r="AJ22" s="26"/>
      <c r="AK22" s="26">
        <v>1.0</v>
      </c>
      <c r="AL22" s="26"/>
      <c r="AM22" s="26"/>
      <c r="AN22" s="26"/>
      <c r="AO22" s="26">
        <v>2.0</v>
      </c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6"/>
      <c r="BA22" s="6">
        <f t="shared" si="1"/>
        <v>10</v>
      </c>
      <c r="BB22" s="5"/>
      <c r="BC22" s="5"/>
    </row>
    <row r="23" ht="15.75" customHeight="1">
      <c r="A23" s="32" t="s">
        <v>76</v>
      </c>
      <c r="B23" s="25"/>
      <c r="C23" s="26"/>
      <c r="D23" s="26"/>
      <c r="E23" s="26"/>
      <c r="F23" s="26"/>
      <c r="G23" s="26"/>
      <c r="H23" s="26"/>
      <c r="I23" s="26"/>
      <c r="J23" s="26"/>
      <c r="K23" s="25"/>
      <c r="L23" s="26"/>
      <c r="M23" s="26"/>
      <c r="N23" s="26"/>
      <c r="O23" s="26"/>
      <c r="P23" s="26"/>
      <c r="Q23" s="26">
        <v>1.0</v>
      </c>
      <c r="R23" s="26">
        <v>1.0</v>
      </c>
      <c r="S23" s="26"/>
      <c r="T23" s="26"/>
      <c r="U23" s="26"/>
      <c r="V23" s="26"/>
      <c r="W23" s="25"/>
      <c r="X23" s="26"/>
      <c r="Y23" s="26">
        <v>1.0</v>
      </c>
      <c r="Z23" s="26">
        <v>2.0</v>
      </c>
      <c r="AA23" s="26"/>
      <c r="AB23" s="26">
        <v>1.0</v>
      </c>
      <c r="AC23" s="26"/>
      <c r="AD23" s="26"/>
      <c r="AE23" s="26">
        <v>1.0</v>
      </c>
      <c r="AF23" s="26"/>
      <c r="AG23" s="26"/>
      <c r="AH23" s="26">
        <v>1.0</v>
      </c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6"/>
      <c r="BA23" s="6">
        <f t="shared" si="1"/>
        <v>8</v>
      </c>
      <c r="BB23" s="5"/>
      <c r="BC23" s="5">
        <v>1.0</v>
      </c>
    </row>
    <row r="24" ht="15.75" customHeight="1">
      <c r="A24" s="32" t="s">
        <v>84</v>
      </c>
      <c r="B24" s="25"/>
      <c r="C24" s="26"/>
      <c r="D24" s="26"/>
      <c r="E24" s="26"/>
      <c r="F24" s="26"/>
      <c r="G24" s="26"/>
      <c r="H24" s="26"/>
      <c r="I24" s="26"/>
      <c r="J24" s="26"/>
      <c r="K24" s="25"/>
      <c r="L24" s="26">
        <v>2.0</v>
      </c>
      <c r="M24" s="26">
        <v>2.0</v>
      </c>
      <c r="N24" s="26">
        <v>1.0</v>
      </c>
      <c r="O24" s="26"/>
      <c r="P24" s="26"/>
      <c r="Q24" s="26"/>
      <c r="R24" s="26"/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>
        <v>1.0</v>
      </c>
      <c r="AO24" s="26"/>
      <c r="AP24" s="26"/>
      <c r="AQ24" s="26"/>
      <c r="AR24" s="26"/>
      <c r="AS24" s="26">
        <v>2.0</v>
      </c>
      <c r="AT24" s="26"/>
      <c r="AU24" s="26"/>
      <c r="AV24" s="26"/>
      <c r="AW24" s="26"/>
      <c r="AX24" s="26"/>
      <c r="AY24" s="26"/>
      <c r="AZ24" s="6"/>
      <c r="BA24" s="6">
        <f t="shared" si="1"/>
        <v>8</v>
      </c>
      <c r="BB24" s="5"/>
      <c r="BC24" s="5">
        <v>1.0</v>
      </c>
    </row>
    <row r="25" ht="15.75" customHeight="1">
      <c r="A25" s="32" t="s">
        <v>81</v>
      </c>
      <c r="B25" s="25"/>
      <c r="C25" s="26">
        <v>2.0</v>
      </c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>
        <v>3.0</v>
      </c>
      <c r="U25" s="26">
        <v>2.0</v>
      </c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6"/>
      <c r="BA25" s="6">
        <f t="shared" si="1"/>
        <v>7</v>
      </c>
      <c r="BB25" s="5"/>
      <c r="BC25" s="5">
        <v>2.0</v>
      </c>
    </row>
    <row r="26" ht="15.75" customHeight="1">
      <c r="A26" s="32" t="s">
        <v>93</v>
      </c>
      <c r="B26" s="25"/>
      <c r="C26" s="26"/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>
        <v>2.0</v>
      </c>
      <c r="AB26" s="26"/>
      <c r="AC26" s="26"/>
      <c r="AD26" s="26"/>
      <c r="AE26" s="26"/>
      <c r="AF26" s="26">
        <v>3.0</v>
      </c>
      <c r="AG26" s="26"/>
      <c r="AH26" s="26"/>
      <c r="AI26" s="26"/>
      <c r="AJ26" s="26">
        <v>2.0</v>
      </c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6"/>
      <c r="BA26" s="6">
        <f t="shared" si="1"/>
        <v>7</v>
      </c>
      <c r="BB26" s="5"/>
      <c r="BC26" s="5">
        <v>1.0</v>
      </c>
    </row>
    <row r="27" ht="15.75" customHeight="1">
      <c r="A27" s="32" t="s">
        <v>136</v>
      </c>
      <c r="B27" s="25"/>
      <c r="C27" s="26"/>
      <c r="D27" s="26">
        <v>3.0</v>
      </c>
      <c r="E27" s="26"/>
      <c r="F27" s="26"/>
      <c r="G27" s="26"/>
      <c r="H27" s="26"/>
      <c r="I27" s="26">
        <v>1.0</v>
      </c>
      <c r="J27" s="26"/>
      <c r="K27" s="25"/>
      <c r="L27" s="26"/>
      <c r="M27" s="26"/>
      <c r="N27" s="26"/>
      <c r="O27" s="26"/>
      <c r="P27" s="26"/>
      <c r="Q27" s="26"/>
      <c r="R27" s="26">
        <v>1.0</v>
      </c>
      <c r="S27" s="26"/>
      <c r="T27" s="26"/>
      <c r="U27" s="45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>
        <v>1.0</v>
      </c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6"/>
      <c r="BA27" s="6">
        <f t="shared" si="1"/>
        <v>6</v>
      </c>
      <c r="BB27" s="5"/>
      <c r="BC27" s="5">
        <v>1.0</v>
      </c>
    </row>
    <row r="28" ht="15.75" customHeight="1">
      <c r="A28" s="32" t="s">
        <v>77</v>
      </c>
      <c r="B28" s="25"/>
      <c r="C28" s="26"/>
      <c r="D28" s="26"/>
      <c r="E28" s="26"/>
      <c r="F28" s="26"/>
      <c r="G28" s="26"/>
      <c r="H28" s="26"/>
      <c r="I28" s="26"/>
      <c r="J28" s="26"/>
      <c r="K28" s="25"/>
      <c r="L28" s="26"/>
      <c r="M28" s="26"/>
      <c r="N28" s="26"/>
      <c r="O28" s="26">
        <v>1.0</v>
      </c>
      <c r="P28" s="26"/>
      <c r="Q28" s="26"/>
      <c r="R28" s="26"/>
      <c r="S28" s="26"/>
      <c r="T28" s="26"/>
      <c r="U28" s="26"/>
      <c r="V28" s="26"/>
      <c r="W28" s="25"/>
      <c r="X28" s="26"/>
      <c r="Y28" s="26">
        <v>2.0</v>
      </c>
      <c r="Z28" s="26"/>
      <c r="AA28" s="26"/>
      <c r="AB28" s="26"/>
      <c r="AC28" s="26"/>
      <c r="AD28" s="26"/>
      <c r="AE28" s="26"/>
      <c r="AF28" s="26"/>
      <c r="AG28" s="26">
        <v>2.0</v>
      </c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6"/>
      <c r="BA28" s="6">
        <f t="shared" si="1"/>
        <v>5</v>
      </c>
      <c r="BB28" s="5"/>
      <c r="BC28" s="5">
        <v>2.0</v>
      </c>
    </row>
    <row r="29" ht="15.75" customHeight="1">
      <c r="A29" s="32" t="s">
        <v>85</v>
      </c>
      <c r="B29" s="25"/>
      <c r="C29" s="26"/>
      <c r="D29" s="26"/>
      <c r="E29" s="26"/>
      <c r="F29" s="26"/>
      <c r="G29" s="26"/>
      <c r="H29" s="26"/>
      <c r="I29" s="26"/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>
        <v>4.0</v>
      </c>
      <c r="AT29" s="26"/>
      <c r="AU29" s="26"/>
      <c r="AV29" s="26"/>
      <c r="AW29" s="26"/>
      <c r="AX29" s="26"/>
      <c r="AY29" s="26"/>
      <c r="AZ29" s="6"/>
      <c r="BA29" s="6">
        <f t="shared" si="1"/>
        <v>4</v>
      </c>
      <c r="BB29" s="5">
        <v>1.0</v>
      </c>
      <c r="BC29" s="5"/>
    </row>
    <row r="30" ht="15.75" customHeight="1">
      <c r="A30" s="32" t="s">
        <v>80</v>
      </c>
      <c r="B30" s="25"/>
      <c r="C30" s="26"/>
      <c r="D30" s="26"/>
      <c r="E30" s="26"/>
      <c r="F30" s="26"/>
      <c r="G30" s="26"/>
      <c r="H30" s="26"/>
      <c r="I30" s="26"/>
      <c r="J30" s="26"/>
      <c r="K30" s="25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>
        <v>3.0</v>
      </c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"/>
      <c r="BA30" s="6">
        <f t="shared" si="1"/>
        <v>3</v>
      </c>
      <c r="BB30" s="5">
        <v>1.0</v>
      </c>
      <c r="BC30" s="5"/>
    </row>
    <row r="31" ht="15.75" customHeight="1">
      <c r="A31" s="32" t="s">
        <v>91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>
        <v>2.0</v>
      </c>
      <c r="AI31" s="26">
        <v>1.0</v>
      </c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"/>
      <c r="BA31" s="6">
        <f t="shared" si="1"/>
        <v>3</v>
      </c>
      <c r="BB31" s="5"/>
      <c r="BC31" s="5">
        <v>1.0</v>
      </c>
    </row>
    <row r="32" ht="15.75" customHeight="1">
      <c r="A32" s="32" t="s">
        <v>87</v>
      </c>
      <c r="B32" s="25"/>
      <c r="C32" s="26"/>
      <c r="D32" s="26"/>
      <c r="E32" s="26"/>
      <c r="F32" s="26">
        <v>1.0</v>
      </c>
      <c r="G32" s="26"/>
      <c r="H32" s="26"/>
      <c r="I32" s="26"/>
      <c r="J32" s="26"/>
      <c r="K32" s="25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>
        <v>1.0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>
        <v>1.0</v>
      </c>
      <c r="AQ32" s="26"/>
      <c r="AR32" s="26"/>
      <c r="AS32" s="26"/>
      <c r="AT32" s="26"/>
      <c r="AU32" s="26"/>
      <c r="AV32" s="26"/>
      <c r="AW32" s="26"/>
      <c r="AX32" s="26"/>
      <c r="AY32" s="26"/>
      <c r="AZ32" s="6"/>
      <c r="BA32" s="6">
        <f t="shared" si="1"/>
        <v>3</v>
      </c>
      <c r="BB32" s="5"/>
      <c r="BC32" s="5">
        <v>1.0</v>
      </c>
    </row>
    <row r="33" ht="15.75" customHeight="1">
      <c r="A33" s="32" t="s">
        <v>137</v>
      </c>
      <c r="B33" s="25"/>
      <c r="C33" s="26"/>
      <c r="D33" s="26"/>
      <c r="E33" s="26">
        <v>1.0</v>
      </c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>
        <v>1.0</v>
      </c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"/>
      <c r="BA33" s="6">
        <f t="shared" si="1"/>
        <v>2</v>
      </c>
      <c r="BB33" s="5"/>
      <c r="BC33" s="5"/>
    </row>
    <row r="34" ht="15.75" customHeight="1">
      <c r="A34" s="32" t="s">
        <v>73</v>
      </c>
      <c r="B34" s="25"/>
      <c r="C34" s="26"/>
      <c r="D34" s="26"/>
      <c r="E34" s="26"/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>
        <v>1.0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>
        <v>1.0</v>
      </c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"/>
      <c r="BA34" s="6">
        <f t="shared" si="1"/>
        <v>2</v>
      </c>
      <c r="BB34" s="5"/>
      <c r="BC34" s="5"/>
    </row>
    <row r="35" ht="15.75" customHeight="1">
      <c r="A35" s="32" t="s">
        <v>92</v>
      </c>
      <c r="B35" s="25"/>
      <c r="C35" s="26"/>
      <c r="D35" s="26">
        <v>1.0</v>
      </c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"/>
      <c r="BA35" s="6">
        <f t="shared" si="1"/>
        <v>1</v>
      </c>
      <c r="BB35" s="5"/>
      <c r="BC35" s="5"/>
    </row>
    <row r="36" ht="15.75" customHeight="1">
      <c r="A36" s="32" t="s">
        <v>138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"/>
      <c r="BA36" s="6">
        <f t="shared" si="1"/>
        <v>0</v>
      </c>
      <c r="BB36" s="5"/>
      <c r="BC36" s="5"/>
    </row>
    <row r="37" ht="15.75" customHeight="1">
      <c r="A37" s="46"/>
      <c r="B37" s="47">
        <v>45664.0</v>
      </c>
      <c r="C37" s="47">
        <v>45671.0</v>
      </c>
      <c r="D37" s="47">
        <v>45678.0</v>
      </c>
      <c r="E37" s="47">
        <v>45685.0</v>
      </c>
      <c r="F37" s="47">
        <v>45692.0</v>
      </c>
      <c r="G37" s="47">
        <v>45699.0</v>
      </c>
      <c r="H37" s="47">
        <v>45706.0</v>
      </c>
      <c r="I37" s="47">
        <v>45713.0</v>
      </c>
      <c r="J37" s="47">
        <v>45720.0</v>
      </c>
      <c r="K37" s="47">
        <v>45727.0</v>
      </c>
      <c r="L37" s="47">
        <v>45734.0</v>
      </c>
      <c r="M37" s="47">
        <v>45741.0</v>
      </c>
      <c r="N37" s="47">
        <v>45748.0</v>
      </c>
      <c r="O37" s="47">
        <v>45755.0</v>
      </c>
      <c r="P37" s="47">
        <v>45762.0</v>
      </c>
      <c r="Q37" s="47">
        <v>45769.0</v>
      </c>
      <c r="R37" s="47">
        <v>45776.0</v>
      </c>
      <c r="S37" s="47">
        <v>45783.0</v>
      </c>
      <c r="T37" s="47">
        <v>45790.0</v>
      </c>
      <c r="U37" s="47">
        <v>45797.0</v>
      </c>
      <c r="V37" s="47">
        <v>45804.0</v>
      </c>
      <c r="W37" s="47">
        <v>45811.0</v>
      </c>
      <c r="X37" s="47">
        <v>45818.0</v>
      </c>
      <c r="Y37" s="47">
        <v>45825.0</v>
      </c>
      <c r="Z37" s="47">
        <v>45832.0</v>
      </c>
      <c r="AA37" s="47">
        <v>45839.0</v>
      </c>
      <c r="AB37" s="47">
        <v>45846.0</v>
      </c>
      <c r="AC37" s="47">
        <v>45853.0</v>
      </c>
      <c r="AD37" s="47">
        <v>45860.0</v>
      </c>
      <c r="AE37" s="47">
        <v>45867.0</v>
      </c>
      <c r="AF37" s="47">
        <v>45874.0</v>
      </c>
      <c r="AG37" s="47">
        <v>45881.0</v>
      </c>
      <c r="AH37" s="47">
        <v>45888.0</v>
      </c>
      <c r="AI37" s="47">
        <v>45895.0</v>
      </c>
      <c r="AJ37" s="47">
        <v>45902.0</v>
      </c>
      <c r="AK37" s="47">
        <v>45909.0</v>
      </c>
      <c r="AL37" s="47">
        <v>45916.0</v>
      </c>
      <c r="AM37" s="47">
        <v>45923.0</v>
      </c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6"/>
      <c r="BA37" s="5"/>
      <c r="BB37" s="5"/>
      <c r="BC37" s="5"/>
    </row>
    <row r="38" ht="15.75" customHeight="1">
      <c r="A38" s="48"/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6"/>
      <c r="BA38" s="6"/>
      <c r="BB38" s="5"/>
      <c r="BC38" s="5"/>
    </row>
    <row r="39" ht="15.75" customHeight="1">
      <c r="U39" s="44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39" t="s">
        <v>96</v>
      </c>
      <c r="B40" s="39">
        <f>'League Table'!B42</f>
        <v>0</v>
      </c>
      <c r="C40" s="39">
        <f>'League Table'!C42</f>
        <v>19</v>
      </c>
      <c r="D40" s="39">
        <f>'League Table'!D42</f>
        <v>20</v>
      </c>
      <c r="E40" s="39">
        <f>'League Table'!E42</f>
        <v>16</v>
      </c>
      <c r="F40" s="39">
        <f>'League Table'!F42</f>
        <v>18</v>
      </c>
      <c r="G40" s="39">
        <f>'League Table'!G42</f>
        <v>16</v>
      </c>
      <c r="H40" s="39">
        <f>'League Table'!H42</f>
        <v>20</v>
      </c>
      <c r="I40" s="39">
        <f>'League Table'!I42</f>
        <v>21</v>
      </c>
      <c r="J40" s="39">
        <f>'League Table'!J42</f>
        <v>15</v>
      </c>
      <c r="K40" s="39">
        <f>'League Table'!K42</f>
        <v>0</v>
      </c>
      <c r="L40" s="39">
        <f>'League Table'!L42</f>
        <v>18</v>
      </c>
      <c r="M40" s="39">
        <f>'League Table'!M42</f>
        <v>18</v>
      </c>
      <c r="N40" s="39">
        <f>'League Table'!N42</f>
        <v>17</v>
      </c>
      <c r="O40" s="39">
        <f>'League Table'!O42</f>
        <v>19</v>
      </c>
      <c r="P40" s="39">
        <f>'League Table'!P42</f>
        <v>16</v>
      </c>
      <c r="Q40" s="39">
        <f>'League Table'!Q42</f>
        <v>18</v>
      </c>
      <c r="R40" s="39">
        <f>'League Table'!R42</f>
        <v>16</v>
      </c>
      <c r="S40" s="39">
        <f>'League Table'!S42</f>
        <v>16</v>
      </c>
      <c r="T40" s="39">
        <f>'League Table'!T42</f>
        <v>20</v>
      </c>
      <c r="U40" s="44">
        <f>'League Table'!U42</f>
        <v>16</v>
      </c>
      <c r="V40" s="39">
        <f>'League Table'!V42</f>
        <v>15</v>
      </c>
      <c r="W40" s="39">
        <f>'League Table'!W42</f>
        <v>0</v>
      </c>
      <c r="X40" s="39">
        <f>'League Table'!X42</f>
        <v>14</v>
      </c>
      <c r="Y40" s="39">
        <f>'League Table'!Y42</f>
        <v>15</v>
      </c>
      <c r="Z40" s="39">
        <f>'League Table'!Z42</f>
        <v>14</v>
      </c>
      <c r="AA40" s="39">
        <f>'League Table'!AA42</f>
        <v>18</v>
      </c>
      <c r="AB40" s="39">
        <f>'League Table'!AB42</f>
        <v>16</v>
      </c>
      <c r="AC40" s="39">
        <f>'League Table'!AC42</f>
        <v>16</v>
      </c>
      <c r="AD40" s="39">
        <f>'League Table'!AD42</f>
        <v>16</v>
      </c>
      <c r="AE40" s="39">
        <f>'League Table'!AE42</f>
        <v>16</v>
      </c>
      <c r="AF40" s="39">
        <f>'League Table'!AF42</f>
        <v>18</v>
      </c>
      <c r="AG40" s="5">
        <f>'League Table'!AG42</f>
        <v>14</v>
      </c>
      <c r="AH40" s="5">
        <f>'League Table'!AH42</f>
        <v>18</v>
      </c>
      <c r="AI40" s="5">
        <f>'League Table'!AI42</f>
        <v>20</v>
      </c>
      <c r="AJ40" s="5">
        <f>'League Table'!AJ42</f>
        <v>20</v>
      </c>
      <c r="AK40" s="5">
        <f>'League Table'!AK42</f>
        <v>16</v>
      </c>
      <c r="AL40" s="5">
        <f>'League Table'!AL42</f>
        <v>19</v>
      </c>
      <c r="AM40" s="5">
        <f>'League Table'!AM42</f>
        <v>20</v>
      </c>
      <c r="AN40" s="5">
        <f>'League Table'!AN42</f>
        <v>20</v>
      </c>
      <c r="AO40" s="5">
        <f>'League Table'!AO42</f>
        <v>20</v>
      </c>
      <c r="AP40" s="5">
        <f>'League Table'!AP42</f>
        <v>14</v>
      </c>
      <c r="AQ40" s="5">
        <f>'League Table'!AQ42</f>
        <v>18</v>
      </c>
      <c r="AR40" s="5">
        <f>'League Table'!AR42</f>
        <v>15</v>
      </c>
      <c r="AS40" s="5">
        <f>'League Table'!AS42</f>
        <v>16</v>
      </c>
      <c r="AT40" s="5">
        <f>'League Table'!AT42</f>
        <v>17</v>
      </c>
      <c r="AU40" s="5">
        <f>'League Table'!AU42</f>
        <v>0</v>
      </c>
      <c r="AV40" s="5">
        <f>'League Table'!AV42</f>
        <v>0</v>
      </c>
      <c r="AW40" s="5"/>
      <c r="AX40" s="5"/>
      <c r="AY40" s="5"/>
      <c r="AZ40" s="5"/>
      <c r="BA40" s="5"/>
      <c r="BB40" s="5"/>
      <c r="BC40" s="5"/>
    </row>
    <row r="41" ht="15.75" customHeight="1">
      <c r="U41" s="44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A42" s="39" t="s">
        <v>139</v>
      </c>
      <c r="B42" s="18">
        <f t="shared" ref="B42:AM42" si="2">SUM(B3:B36)</f>
        <v>0</v>
      </c>
      <c r="C42" s="18">
        <f t="shared" si="2"/>
        <v>9</v>
      </c>
      <c r="D42" s="18">
        <f t="shared" si="2"/>
        <v>13</v>
      </c>
      <c r="E42" s="18">
        <f t="shared" si="2"/>
        <v>6</v>
      </c>
      <c r="F42" s="18">
        <f t="shared" si="2"/>
        <v>7</v>
      </c>
      <c r="G42" s="18">
        <f t="shared" si="2"/>
        <v>8</v>
      </c>
      <c r="H42" s="18">
        <f t="shared" si="2"/>
        <v>10</v>
      </c>
      <c r="I42" s="18">
        <f t="shared" si="2"/>
        <v>11</v>
      </c>
      <c r="J42" s="18">
        <f t="shared" si="2"/>
        <v>8</v>
      </c>
      <c r="K42" s="18">
        <f t="shared" si="2"/>
        <v>0</v>
      </c>
      <c r="L42" s="18">
        <f t="shared" si="2"/>
        <v>6</v>
      </c>
      <c r="M42" s="18">
        <f t="shared" si="2"/>
        <v>9</v>
      </c>
      <c r="N42" s="18">
        <f t="shared" si="2"/>
        <v>9</v>
      </c>
      <c r="O42" s="18">
        <f t="shared" si="2"/>
        <v>9</v>
      </c>
      <c r="P42" s="18">
        <f t="shared" si="2"/>
        <v>6</v>
      </c>
      <c r="Q42" s="18">
        <f t="shared" si="2"/>
        <v>5</v>
      </c>
      <c r="R42" s="18">
        <f t="shared" si="2"/>
        <v>7</v>
      </c>
      <c r="S42" s="18">
        <f t="shared" si="2"/>
        <v>7</v>
      </c>
      <c r="T42" s="18">
        <f t="shared" si="2"/>
        <v>10</v>
      </c>
      <c r="U42" s="18">
        <f t="shared" si="2"/>
        <v>8</v>
      </c>
      <c r="V42" s="18">
        <f t="shared" si="2"/>
        <v>6</v>
      </c>
      <c r="W42" s="18">
        <f t="shared" si="2"/>
        <v>0</v>
      </c>
      <c r="X42" s="18">
        <f t="shared" si="2"/>
        <v>8</v>
      </c>
      <c r="Y42" s="18">
        <f t="shared" si="2"/>
        <v>7</v>
      </c>
      <c r="Z42" s="18">
        <f t="shared" si="2"/>
        <v>7</v>
      </c>
      <c r="AA42" s="18">
        <f t="shared" si="2"/>
        <v>11</v>
      </c>
      <c r="AB42" s="18">
        <f t="shared" si="2"/>
        <v>9</v>
      </c>
      <c r="AC42" s="18">
        <f t="shared" si="2"/>
        <v>6</v>
      </c>
      <c r="AD42" s="18">
        <f t="shared" si="2"/>
        <v>8</v>
      </c>
      <c r="AE42" s="18">
        <f t="shared" si="2"/>
        <v>9</v>
      </c>
      <c r="AF42" s="18">
        <f t="shared" si="2"/>
        <v>8</v>
      </c>
      <c r="AG42" s="18">
        <f t="shared" si="2"/>
        <v>6</v>
      </c>
      <c r="AH42" s="18">
        <f t="shared" si="2"/>
        <v>9</v>
      </c>
      <c r="AI42" s="18">
        <f t="shared" si="2"/>
        <v>10</v>
      </c>
      <c r="AJ42" s="18">
        <f t="shared" si="2"/>
        <v>7</v>
      </c>
      <c r="AK42" s="18">
        <f t="shared" si="2"/>
        <v>6</v>
      </c>
      <c r="AL42" s="18">
        <f t="shared" si="2"/>
        <v>8</v>
      </c>
      <c r="AM42" s="18">
        <f t="shared" si="2"/>
        <v>6</v>
      </c>
      <c r="AN42" s="6">
        <f t="shared" ref="AN42:AV42" si="3">SUM(AN4:AN38)</f>
        <v>9</v>
      </c>
      <c r="AO42" s="6">
        <f t="shared" si="3"/>
        <v>10</v>
      </c>
      <c r="AP42" s="6">
        <f t="shared" si="3"/>
        <v>6</v>
      </c>
      <c r="AQ42" s="6">
        <f t="shared" si="3"/>
        <v>6</v>
      </c>
      <c r="AR42" s="6">
        <f t="shared" si="3"/>
        <v>4</v>
      </c>
      <c r="AS42" s="6">
        <f t="shared" si="3"/>
        <v>9</v>
      </c>
      <c r="AT42" s="6">
        <f t="shared" si="3"/>
        <v>0</v>
      </c>
      <c r="AU42" s="6">
        <f t="shared" si="3"/>
        <v>0</v>
      </c>
      <c r="AV42" s="6">
        <f t="shared" si="3"/>
        <v>0</v>
      </c>
      <c r="AW42" s="6"/>
      <c r="AX42" s="6"/>
      <c r="AY42" s="6"/>
      <c r="AZ42" s="6"/>
      <c r="BA42" s="5"/>
      <c r="BB42" s="5"/>
      <c r="BC42" s="5"/>
    </row>
    <row r="43" ht="15.75" customHeight="1">
      <c r="U43" s="44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4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4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4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4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4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4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4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4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4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4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4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4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4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4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4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4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4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4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4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4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4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4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4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4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4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4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4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4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4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4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4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4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4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4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4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4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4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4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4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4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4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4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4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4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4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4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4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4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4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4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4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4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4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4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4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4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4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4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4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4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4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4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4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4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4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4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4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4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4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4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4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4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4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4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4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4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4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4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4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4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4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4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4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4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4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4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4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4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4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4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4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4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4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4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4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4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4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4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4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4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4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4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4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4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4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4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4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4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4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4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4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4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4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4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4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4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4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4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4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4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4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4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4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4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4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4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4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4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4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4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4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4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4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4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4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4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4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4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4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4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4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4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4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4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4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4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4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4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4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4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4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4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4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4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4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4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4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4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4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4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4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4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4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4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4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4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4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4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4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4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4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4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4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4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4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4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4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4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4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4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4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4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4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4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4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4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4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4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4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4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4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4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4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4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4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4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4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4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4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4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4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4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4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4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4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4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4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4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4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4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4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4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4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4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4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4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4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4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4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4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4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4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4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4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4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4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4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4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4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4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4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4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4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4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4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4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4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4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4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4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4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4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4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4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4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4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4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4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4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4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4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4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4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4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4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4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4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4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4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4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4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4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4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4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4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4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4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4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4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4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4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4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4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4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4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4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4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4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4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4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4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4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4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4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4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4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4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4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4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4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4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4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4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4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4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4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4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4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4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4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4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4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4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4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4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4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4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4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4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4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4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4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4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4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4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4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4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4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4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4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4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4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4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4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4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4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4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4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4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4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4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4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4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4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4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4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4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4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4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4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4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4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4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4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4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4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4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4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4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4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4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4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4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4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4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4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4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4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4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4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4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4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4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4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4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4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4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4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4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4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4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4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4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4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4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4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4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4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4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4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4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4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4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4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4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4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4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4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4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4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4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4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4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4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4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4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4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4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4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4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4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4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4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4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4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4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4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4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4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4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4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4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4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4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4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4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4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4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4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4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4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4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4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4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4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4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4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4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4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4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4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4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4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4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4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4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4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4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4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4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4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4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4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4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4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4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4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4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4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4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4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4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4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4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4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4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4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4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4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4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4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4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4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4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4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4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4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4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4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4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4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4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4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4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4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4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4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4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4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4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4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4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4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4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4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4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4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4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4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4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4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4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4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4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4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4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4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4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4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4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4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4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4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4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4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4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4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4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4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4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4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4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4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4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4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4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4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4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4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4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4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4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4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4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4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4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4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4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4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4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4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4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4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4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4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4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4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4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4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4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4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4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4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4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4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4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4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4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4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4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4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4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4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4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4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4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4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4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4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4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4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4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4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4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4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4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4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4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4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4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4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4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4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4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4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4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4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4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4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4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4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4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4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4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4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4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4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4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4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4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4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4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4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4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4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4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4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4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4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4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4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4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4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4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4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4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4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4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4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4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4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4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4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4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4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4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4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4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4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4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4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4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4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4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4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4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4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4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4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4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4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4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4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4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4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4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4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4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4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4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4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4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4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4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4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4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4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4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4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4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4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4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4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4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4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4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4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4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4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4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4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4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4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4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4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4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4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4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4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4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4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4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4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4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4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4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4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4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4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4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4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4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4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4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4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4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4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4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4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4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4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4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4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4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4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4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4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4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4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4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4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4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4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4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4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4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4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4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4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4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4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4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4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4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4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4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4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4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4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4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4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4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4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4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4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4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4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4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4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4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4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4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4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4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4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4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4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4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4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4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4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4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4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4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4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4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4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4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4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4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4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4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4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4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4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4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4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4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4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4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4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4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4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4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4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4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4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4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4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4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4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4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4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4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4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4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4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4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4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4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4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4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4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4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4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4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4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4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4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4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4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4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4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4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4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4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4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4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4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4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4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4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4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4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4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4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4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4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4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4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4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4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4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4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4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4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4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4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4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4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4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4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4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4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4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4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4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4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4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4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4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4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4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4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4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4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4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4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4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4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4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4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4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4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4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4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4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4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4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4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4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4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4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4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4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4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4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4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4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4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4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4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4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4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4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4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4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4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4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4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4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4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4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4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4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4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4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4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4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4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4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4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4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4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4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4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4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4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4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4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4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4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4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4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4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4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4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4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4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4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4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4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4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4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4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4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4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4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4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4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4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4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4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4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4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4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4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4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4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4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4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4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4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4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4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4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4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4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4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4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4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4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4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4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4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4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4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4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4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4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4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4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4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4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4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4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4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4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4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4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4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4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4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4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4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4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140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131</v>
      </c>
      <c r="BA3" s="49" t="s">
        <v>141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66</v>
      </c>
      <c r="B5" s="16"/>
      <c r="C5" s="16">
        <v>1.0</v>
      </c>
      <c r="D5" s="16">
        <v>2.0</v>
      </c>
      <c r="E5" s="16"/>
      <c r="F5" s="16"/>
      <c r="G5" s="16">
        <v>4.0</v>
      </c>
      <c r="H5" s="16">
        <v>1.0</v>
      </c>
      <c r="I5" s="16"/>
      <c r="J5" s="16">
        <v>1.0</v>
      </c>
      <c r="K5" s="16"/>
      <c r="L5" s="16"/>
      <c r="M5" s="16"/>
      <c r="N5" s="16">
        <v>1.0</v>
      </c>
      <c r="O5" s="16"/>
      <c r="P5" s="16">
        <v>2.0</v>
      </c>
      <c r="Q5" s="16">
        <v>1.0</v>
      </c>
      <c r="R5" s="16"/>
      <c r="S5" s="16"/>
      <c r="T5" s="16"/>
      <c r="U5" s="16">
        <v>1.0</v>
      </c>
      <c r="V5" s="16">
        <v>5.0</v>
      </c>
      <c r="W5" s="15"/>
      <c r="X5" s="16">
        <v>1.0</v>
      </c>
      <c r="Y5" s="16">
        <v>1.0</v>
      </c>
      <c r="Z5" s="16">
        <v>1.0</v>
      </c>
      <c r="AA5" s="16"/>
      <c r="AB5" s="16">
        <v>3.0</v>
      </c>
      <c r="AC5" s="16">
        <v>1.0</v>
      </c>
      <c r="AD5" s="16">
        <v>4.0</v>
      </c>
      <c r="AE5" s="16"/>
      <c r="AF5" s="16">
        <v>1.0</v>
      </c>
      <c r="AG5" s="16">
        <v>1.0</v>
      </c>
      <c r="AH5" s="16"/>
      <c r="AI5" s="16"/>
      <c r="AJ5" s="16">
        <v>1.0</v>
      </c>
      <c r="AK5" s="16"/>
      <c r="AL5" s="16">
        <v>1.0</v>
      </c>
      <c r="AM5" s="16">
        <v>2.0</v>
      </c>
      <c r="AN5" s="16"/>
      <c r="AO5" s="16"/>
      <c r="AP5" s="16"/>
      <c r="AQ5" s="16"/>
      <c r="AR5" s="16">
        <v>1.0</v>
      </c>
      <c r="AS5" s="16"/>
      <c r="AT5" s="16"/>
      <c r="AU5" s="16"/>
      <c r="AV5" s="16"/>
      <c r="AW5" s="16"/>
      <c r="AX5" s="16"/>
      <c r="AY5" s="16"/>
      <c r="BA5" s="39">
        <f t="shared" ref="BA5:BA38" si="1">SUM(B5:AY5)</f>
        <v>37</v>
      </c>
    </row>
    <row r="6">
      <c r="A6" s="28" t="s">
        <v>64</v>
      </c>
      <c r="B6" s="50"/>
      <c r="C6" s="50"/>
      <c r="D6" s="50"/>
      <c r="E6" s="50">
        <v>1.0</v>
      </c>
      <c r="F6" s="50"/>
      <c r="G6" s="50"/>
      <c r="H6" s="50"/>
      <c r="I6" s="50">
        <v>1.0</v>
      </c>
      <c r="J6" s="50">
        <v>1.0</v>
      </c>
      <c r="K6" s="51"/>
      <c r="L6" s="30">
        <v>1.0</v>
      </c>
      <c r="M6" s="30"/>
      <c r="N6" s="30">
        <v>1.0</v>
      </c>
      <c r="O6" s="30">
        <v>1.0</v>
      </c>
      <c r="P6" s="30"/>
      <c r="Q6" s="30">
        <v>1.0</v>
      </c>
      <c r="R6" s="30">
        <v>1.0</v>
      </c>
      <c r="S6" s="30"/>
      <c r="T6" s="30">
        <v>2.0</v>
      </c>
      <c r="U6" s="30"/>
      <c r="V6" s="30">
        <v>3.0</v>
      </c>
      <c r="W6" s="29"/>
      <c r="X6" s="30"/>
      <c r="Y6" s="30">
        <v>2.0</v>
      </c>
      <c r="Z6" s="30">
        <v>2.0</v>
      </c>
      <c r="AA6" s="30">
        <v>2.0</v>
      </c>
      <c r="AB6" s="30"/>
      <c r="AC6" s="30">
        <v>2.0</v>
      </c>
      <c r="AD6" s="30">
        <v>1.0</v>
      </c>
      <c r="AE6" s="30"/>
      <c r="AF6" s="30">
        <v>1.0</v>
      </c>
      <c r="AG6" s="30">
        <v>1.0</v>
      </c>
      <c r="AH6" s="30"/>
      <c r="AI6" s="30"/>
      <c r="AJ6" s="30">
        <v>3.0</v>
      </c>
      <c r="AK6" s="30"/>
      <c r="AL6" s="30"/>
      <c r="AM6" s="30"/>
      <c r="AN6" s="30"/>
      <c r="AO6" s="30"/>
      <c r="AP6" s="30"/>
      <c r="AQ6" s="30"/>
      <c r="AR6" s="30"/>
      <c r="AS6" s="30"/>
      <c r="AT6" s="30">
        <v>2.0</v>
      </c>
      <c r="AU6" s="30"/>
      <c r="AV6" s="30"/>
      <c r="AW6" s="30"/>
      <c r="AX6" s="30"/>
      <c r="AY6" s="30"/>
      <c r="BA6" s="39">
        <f t="shared" si="1"/>
        <v>29</v>
      </c>
    </row>
    <row r="7">
      <c r="A7" s="24" t="s">
        <v>71</v>
      </c>
      <c r="B7" s="26"/>
      <c r="C7" s="26">
        <v>1.0</v>
      </c>
      <c r="D7" s="26"/>
      <c r="E7" s="26"/>
      <c r="F7" s="26">
        <v>1.0</v>
      </c>
      <c r="G7" s="26">
        <v>1.0</v>
      </c>
      <c r="H7" s="26"/>
      <c r="I7" s="26">
        <v>1.0</v>
      </c>
      <c r="J7" s="26">
        <v>5.0</v>
      </c>
      <c r="K7" s="52"/>
      <c r="L7" s="26"/>
      <c r="M7" s="26">
        <v>1.0</v>
      </c>
      <c r="N7" s="26"/>
      <c r="O7" s="26"/>
      <c r="P7" s="26">
        <v>2.0</v>
      </c>
      <c r="Q7" s="26"/>
      <c r="R7" s="26">
        <v>1.0</v>
      </c>
      <c r="S7" s="26"/>
      <c r="T7" s="26"/>
      <c r="U7" s="26"/>
      <c r="V7" s="26"/>
      <c r="W7" s="25"/>
      <c r="X7" s="26"/>
      <c r="Y7" s="26"/>
      <c r="Z7" s="26"/>
      <c r="AA7" s="26"/>
      <c r="AB7" s="26">
        <v>1.0</v>
      </c>
      <c r="AC7" s="26">
        <v>1.0</v>
      </c>
      <c r="AD7" s="26">
        <v>1.0</v>
      </c>
      <c r="AE7" s="26"/>
      <c r="AF7" s="26"/>
      <c r="AG7" s="26"/>
      <c r="AH7" s="26"/>
      <c r="AI7" s="26"/>
      <c r="AJ7" s="26">
        <v>1.0</v>
      </c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BA7" s="39">
        <f t="shared" si="1"/>
        <v>17</v>
      </c>
    </row>
    <row r="8">
      <c r="A8" s="14" t="s">
        <v>72</v>
      </c>
      <c r="B8" s="16"/>
      <c r="C8" s="16">
        <v>2.0</v>
      </c>
      <c r="D8" s="16"/>
      <c r="E8" s="16"/>
      <c r="F8" s="16"/>
      <c r="G8" s="16">
        <v>1.0</v>
      </c>
      <c r="H8" s="16"/>
      <c r="I8" s="16"/>
      <c r="J8" s="16">
        <v>1.0</v>
      </c>
      <c r="K8" s="53"/>
      <c r="L8" s="16"/>
      <c r="M8" s="16">
        <v>1.0</v>
      </c>
      <c r="N8" s="16"/>
      <c r="O8" s="16"/>
      <c r="P8" s="16"/>
      <c r="Q8" s="16"/>
      <c r="R8" s="16">
        <v>2.0</v>
      </c>
      <c r="S8" s="16">
        <v>2.0</v>
      </c>
      <c r="T8" s="16"/>
      <c r="U8" s="16">
        <v>1.0</v>
      </c>
      <c r="V8" s="16"/>
      <c r="W8" s="15"/>
      <c r="X8" s="16"/>
      <c r="Y8" s="16">
        <v>1.0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>
        <v>1.0</v>
      </c>
      <c r="AK8" s="16"/>
      <c r="AL8" s="16">
        <v>1.0</v>
      </c>
      <c r="AM8" s="16">
        <v>1.0</v>
      </c>
      <c r="AN8" s="16"/>
      <c r="AO8" s="16">
        <v>1.0</v>
      </c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39">
        <f t="shared" si="1"/>
        <v>15</v>
      </c>
    </row>
    <row r="9">
      <c r="A9" s="28" t="s">
        <v>65</v>
      </c>
      <c r="B9" s="30"/>
      <c r="C9" s="30"/>
      <c r="D9" s="30"/>
      <c r="E9" s="30">
        <v>1.0</v>
      </c>
      <c r="F9" s="30">
        <v>1.0</v>
      </c>
      <c r="G9" s="30">
        <v>1.0</v>
      </c>
      <c r="H9" s="30"/>
      <c r="I9" s="30"/>
      <c r="J9" s="30"/>
      <c r="K9" s="54"/>
      <c r="L9" s="30"/>
      <c r="M9" s="30"/>
      <c r="N9" s="30"/>
      <c r="O9" s="30">
        <v>1.0</v>
      </c>
      <c r="P9" s="30"/>
      <c r="Q9" s="30"/>
      <c r="R9" s="30"/>
      <c r="S9" s="30"/>
      <c r="T9" s="30"/>
      <c r="U9" s="30"/>
      <c r="V9" s="30"/>
      <c r="W9" s="29"/>
      <c r="X9" s="30"/>
      <c r="Y9" s="30"/>
      <c r="Z9" s="30">
        <v>1.0</v>
      </c>
      <c r="AA9" s="30">
        <v>1.0</v>
      </c>
      <c r="AB9" s="30"/>
      <c r="AC9" s="30"/>
      <c r="AD9" s="30"/>
      <c r="AE9" s="30"/>
      <c r="AF9" s="30"/>
      <c r="AG9" s="30">
        <v>1.0</v>
      </c>
      <c r="AH9" s="30"/>
      <c r="AI9" s="30"/>
      <c r="AJ9" s="30">
        <v>1.0</v>
      </c>
      <c r="AK9" s="30"/>
      <c r="AL9" s="30"/>
      <c r="AM9" s="30"/>
      <c r="AN9" s="30">
        <v>1.0</v>
      </c>
      <c r="AO9" s="30"/>
      <c r="AP9" s="30">
        <v>1.0</v>
      </c>
      <c r="AQ9" s="30"/>
      <c r="AR9" s="30"/>
      <c r="AS9" s="30"/>
      <c r="AT9" s="30">
        <v>1.0</v>
      </c>
      <c r="AU9" s="30"/>
      <c r="AV9" s="30"/>
      <c r="AW9" s="30"/>
      <c r="AX9" s="30"/>
      <c r="AY9" s="30"/>
      <c r="BA9" s="39">
        <f t="shared" si="1"/>
        <v>11</v>
      </c>
    </row>
    <row r="10">
      <c r="A10" s="28" t="s">
        <v>142</v>
      </c>
      <c r="B10" s="26"/>
      <c r="C10" s="26"/>
      <c r="D10" s="26"/>
      <c r="E10" s="26"/>
      <c r="F10" s="26">
        <v>3.0</v>
      </c>
      <c r="G10" s="26"/>
      <c r="H10" s="26">
        <v>1.0</v>
      </c>
      <c r="I10" s="26"/>
      <c r="J10" s="26">
        <v>1.0</v>
      </c>
      <c r="K10" s="52"/>
      <c r="L10" s="26">
        <v>1.0</v>
      </c>
      <c r="M10" s="26">
        <v>1.0</v>
      </c>
      <c r="N10" s="26"/>
      <c r="O10" s="26"/>
      <c r="P10" s="26"/>
      <c r="Q10" s="26"/>
      <c r="R10" s="26">
        <v>1.0</v>
      </c>
      <c r="S10" s="26"/>
      <c r="T10" s="26"/>
      <c r="U10" s="26"/>
      <c r="V10" s="26"/>
      <c r="W10" s="25"/>
      <c r="X10" s="26"/>
      <c r="Y10" s="26"/>
      <c r="Z10" s="26"/>
      <c r="AA10" s="26"/>
      <c r="AB10" s="26"/>
      <c r="AC10" s="26"/>
      <c r="AD10" s="26"/>
      <c r="AE10" s="26"/>
      <c r="AF10" s="26">
        <v>1.0</v>
      </c>
      <c r="AG10" s="26"/>
      <c r="AH10" s="26"/>
      <c r="AI10" s="26"/>
      <c r="AJ10" s="26"/>
      <c r="AK10" s="26"/>
      <c r="AL10" s="26"/>
      <c r="AM10" s="26">
        <v>1.0</v>
      </c>
      <c r="AN10" s="26"/>
      <c r="AO10" s="26"/>
      <c r="AP10" s="26"/>
      <c r="AQ10" s="26"/>
      <c r="AR10" s="26"/>
      <c r="AS10" s="26">
        <v>1.0</v>
      </c>
      <c r="AT10" s="26"/>
      <c r="AU10" s="26"/>
      <c r="AV10" s="26"/>
      <c r="AW10" s="26"/>
      <c r="AX10" s="26"/>
      <c r="AY10" s="26"/>
      <c r="BA10" s="39">
        <f t="shared" si="1"/>
        <v>11</v>
      </c>
    </row>
    <row r="11">
      <c r="A11" s="32" t="s">
        <v>60</v>
      </c>
      <c r="B11" s="26"/>
      <c r="C11" s="26"/>
      <c r="D11" s="26"/>
      <c r="E11" s="26"/>
      <c r="F11" s="26">
        <v>1.0</v>
      </c>
      <c r="G11" s="26"/>
      <c r="H11" s="26"/>
      <c r="I11" s="26"/>
      <c r="J11" s="26"/>
      <c r="K11" s="52"/>
      <c r="L11" s="26"/>
      <c r="M11" s="26"/>
      <c r="N11" s="26"/>
      <c r="O11" s="26"/>
      <c r="P11" s="26"/>
      <c r="Q11" s="26"/>
      <c r="R11" s="26"/>
      <c r="S11" s="26"/>
      <c r="T11" s="26">
        <v>1.0</v>
      </c>
      <c r="U11" s="26"/>
      <c r="V11" s="26">
        <v>1.0</v>
      </c>
      <c r="W11" s="25"/>
      <c r="X11" s="26">
        <v>1.0</v>
      </c>
      <c r="Y11" s="26">
        <v>1.0</v>
      </c>
      <c r="Z11" s="26">
        <v>2.0</v>
      </c>
      <c r="AA11" s="26">
        <v>1.0</v>
      </c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>
        <v>1.0</v>
      </c>
      <c r="AR11" s="26"/>
      <c r="AS11" s="26"/>
      <c r="AT11" s="26"/>
      <c r="AU11" s="26"/>
      <c r="AV11" s="26"/>
      <c r="AW11" s="26"/>
      <c r="AX11" s="26"/>
      <c r="AY11" s="26"/>
      <c r="BA11" s="39">
        <f t="shared" si="1"/>
        <v>10</v>
      </c>
    </row>
    <row r="12">
      <c r="A12" s="32" t="s">
        <v>73</v>
      </c>
      <c r="B12" s="30"/>
      <c r="C12" s="30"/>
      <c r="D12" s="30"/>
      <c r="E12" s="30"/>
      <c r="F12" s="30"/>
      <c r="G12" s="30">
        <v>1.0</v>
      </c>
      <c r="H12" s="30"/>
      <c r="I12" s="30"/>
      <c r="J12" s="30"/>
      <c r="K12" s="30"/>
      <c r="L12" s="30"/>
      <c r="M12" s="30"/>
      <c r="N12" s="30">
        <v>1.0</v>
      </c>
      <c r="O12" s="30"/>
      <c r="P12" s="30">
        <v>1.0</v>
      </c>
      <c r="Q12" s="30"/>
      <c r="R12" s="30">
        <v>1.0</v>
      </c>
      <c r="S12" s="30"/>
      <c r="T12" s="30"/>
      <c r="U12" s="30"/>
      <c r="V12" s="30">
        <v>2.0</v>
      </c>
      <c r="W12" s="29"/>
      <c r="X12" s="30"/>
      <c r="Y12" s="30"/>
      <c r="Z12" s="30">
        <v>1.0</v>
      </c>
      <c r="AA12" s="30">
        <v>1.0</v>
      </c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>
        <v>1.0</v>
      </c>
      <c r="AT12" s="30"/>
      <c r="AU12" s="30"/>
      <c r="AV12" s="30"/>
      <c r="AW12" s="30"/>
      <c r="AX12" s="30"/>
      <c r="AY12" s="30"/>
      <c r="BA12" s="39">
        <f t="shared" si="1"/>
        <v>9</v>
      </c>
    </row>
    <row r="13">
      <c r="A13" s="32" t="s">
        <v>67</v>
      </c>
      <c r="B13" s="26"/>
      <c r="C13" s="26"/>
      <c r="D13" s="26">
        <v>1.0</v>
      </c>
      <c r="E13" s="26"/>
      <c r="F13" s="26"/>
      <c r="G13" s="26"/>
      <c r="H13" s="26"/>
      <c r="I13" s="26"/>
      <c r="J13" s="26"/>
      <c r="K13" s="26"/>
      <c r="L13" s="26"/>
      <c r="M13" s="26"/>
      <c r="N13" s="26">
        <v>1.0</v>
      </c>
      <c r="O13" s="26">
        <v>1.0</v>
      </c>
      <c r="P13" s="26">
        <v>1.0</v>
      </c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/>
      <c r="AC13" s="26"/>
      <c r="AD13" s="26">
        <v>1.0</v>
      </c>
      <c r="AE13" s="26"/>
      <c r="AF13" s="26"/>
      <c r="AG13" s="26"/>
      <c r="AH13" s="26">
        <v>1.0</v>
      </c>
      <c r="AI13" s="26"/>
      <c r="AJ13" s="26"/>
      <c r="AK13" s="26">
        <v>1.0</v>
      </c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BA13" s="39">
        <f t="shared" si="1"/>
        <v>7</v>
      </c>
    </row>
    <row r="14">
      <c r="A14" s="32" t="s">
        <v>79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/>
      <c r="AB14" s="26"/>
      <c r="AC14" s="26"/>
      <c r="AD14" s="26">
        <v>1.0</v>
      </c>
      <c r="AE14" s="26"/>
      <c r="AF14" s="26"/>
      <c r="AG14" s="26"/>
      <c r="AH14" s="26">
        <v>1.0</v>
      </c>
      <c r="AI14" s="26">
        <v>3.0</v>
      </c>
      <c r="AJ14" s="26"/>
      <c r="AK14" s="26"/>
      <c r="AL14" s="26"/>
      <c r="AM14" s="26"/>
      <c r="AN14" s="26">
        <v>1.0</v>
      </c>
      <c r="AO14" s="26">
        <v>1.0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BA14" s="39">
        <f t="shared" si="1"/>
        <v>7</v>
      </c>
    </row>
    <row r="15">
      <c r="A15" s="32" t="s">
        <v>80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5"/>
      <c r="X15" s="26"/>
      <c r="Y15" s="26"/>
      <c r="Z15" s="26"/>
      <c r="AA15" s="26"/>
      <c r="AB15" s="26">
        <v>1.0</v>
      </c>
      <c r="AC15" s="26">
        <v>3.0</v>
      </c>
      <c r="AD15" s="26"/>
      <c r="AE15" s="26"/>
      <c r="AF15" s="26"/>
      <c r="AG15" s="26">
        <v>1.0</v>
      </c>
      <c r="AH15" s="26"/>
      <c r="AI15" s="26"/>
      <c r="AJ15" s="26">
        <v>1.0</v>
      </c>
      <c r="AK15" s="26"/>
      <c r="AL15" s="26"/>
      <c r="AM15" s="26"/>
      <c r="AN15" s="26"/>
      <c r="AO15" s="26"/>
      <c r="AP15" s="26">
        <v>1.0</v>
      </c>
      <c r="AQ15" s="26"/>
      <c r="AR15" s="26"/>
      <c r="AS15" s="26"/>
      <c r="AT15" s="26"/>
      <c r="AU15" s="26"/>
      <c r="AV15" s="26"/>
      <c r="AW15" s="26"/>
      <c r="AX15" s="26"/>
      <c r="AY15" s="26"/>
      <c r="BA15" s="39">
        <f t="shared" si="1"/>
        <v>7</v>
      </c>
    </row>
    <row r="16">
      <c r="A16" s="32" t="s">
        <v>143</v>
      </c>
      <c r="B16" s="26"/>
      <c r="C16" s="26"/>
      <c r="D16" s="26"/>
      <c r="E16" s="26"/>
      <c r="F16" s="26"/>
      <c r="G16" s="26"/>
      <c r="H16" s="26">
        <v>1.0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5"/>
      <c r="X16" s="26"/>
      <c r="Y16" s="26">
        <v>2.0</v>
      </c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>
        <v>1.0</v>
      </c>
      <c r="AM16" s="26">
        <v>1.0</v>
      </c>
      <c r="AN16" s="26"/>
      <c r="AO16" s="26">
        <v>1.0</v>
      </c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BA16" s="39">
        <f t="shared" si="1"/>
        <v>6</v>
      </c>
    </row>
    <row r="17">
      <c r="A17" s="32" t="s">
        <v>74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>
        <v>1.0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>
        <v>2.0</v>
      </c>
      <c r="AS17" s="26"/>
      <c r="AT17" s="26"/>
      <c r="AU17" s="26"/>
      <c r="AV17" s="26"/>
      <c r="AW17" s="26"/>
      <c r="AX17" s="26"/>
      <c r="AY17" s="26"/>
      <c r="BA17" s="39">
        <f t="shared" si="1"/>
        <v>3</v>
      </c>
    </row>
    <row r="18">
      <c r="A18" s="32" t="s">
        <v>59</v>
      </c>
      <c r="B18" s="26"/>
      <c r="C18" s="26"/>
      <c r="D18" s="26"/>
      <c r="E18" s="26"/>
      <c r="F18" s="26"/>
      <c r="G18" s="26"/>
      <c r="H18" s="26"/>
      <c r="I18" s="26"/>
      <c r="J18" s="26">
        <v>1.0</v>
      </c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>
        <v>2.0</v>
      </c>
      <c r="AS18" s="26"/>
      <c r="AT18" s="26"/>
      <c r="AU18" s="26"/>
      <c r="AV18" s="26"/>
      <c r="AW18" s="26"/>
      <c r="AX18" s="26"/>
      <c r="AY18" s="26"/>
      <c r="BA18" s="39">
        <f t="shared" si="1"/>
        <v>3</v>
      </c>
    </row>
    <row r="19">
      <c r="A19" s="32" t="s">
        <v>85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>
        <v>2.0</v>
      </c>
      <c r="AT19" s="26">
        <v>1.0</v>
      </c>
      <c r="AU19" s="26"/>
      <c r="AV19" s="26"/>
      <c r="AW19" s="26"/>
      <c r="AX19" s="26"/>
      <c r="AY19" s="26"/>
      <c r="BA19" s="39">
        <f t="shared" si="1"/>
        <v>3</v>
      </c>
    </row>
    <row r="20">
      <c r="A20" s="32" t="s">
        <v>76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5"/>
      <c r="X20" s="26"/>
      <c r="Y20" s="26"/>
      <c r="Z20" s="26">
        <v>1.0</v>
      </c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>
        <v>1.0</v>
      </c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BA20" s="39">
        <f t="shared" si="1"/>
        <v>2</v>
      </c>
    </row>
    <row r="21" ht="15.75" customHeight="1">
      <c r="A21" s="32" t="s">
        <v>81</v>
      </c>
      <c r="B21" s="26"/>
      <c r="C21" s="26">
        <v>1.0</v>
      </c>
      <c r="D21" s="26"/>
      <c r="E21" s="26"/>
      <c r="F21" s="26"/>
      <c r="G21" s="26"/>
      <c r="H21" s="26">
        <v>1.0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BA21" s="39">
        <f t="shared" si="1"/>
        <v>2</v>
      </c>
    </row>
    <row r="22" ht="15.75" customHeight="1">
      <c r="A22" s="32" t="s">
        <v>61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>
        <v>1.0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BA22" s="39">
        <f t="shared" si="1"/>
        <v>1</v>
      </c>
    </row>
    <row r="23" ht="15.75" customHeight="1">
      <c r="A23" s="32" t="s">
        <v>87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>
        <v>1.0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BA23" s="39">
        <f t="shared" si="1"/>
        <v>1</v>
      </c>
    </row>
    <row r="24" ht="15.75" customHeight="1">
      <c r="A24" s="32" t="s">
        <v>78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>
        <v>1.0</v>
      </c>
      <c r="AT24" s="26"/>
      <c r="AU24" s="26"/>
      <c r="AV24" s="26"/>
      <c r="AW24" s="26"/>
      <c r="AX24" s="26"/>
      <c r="AY24" s="26"/>
      <c r="BA24" s="39">
        <f t="shared" si="1"/>
        <v>1</v>
      </c>
    </row>
    <row r="25" ht="15.75" customHeight="1">
      <c r="A25" s="32" t="s">
        <v>130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>
        <v>1.0</v>
      </c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BA25" s="39">
        <f t="shared" si="1"/>
        <v>1</v>
      </c>
    </row>
    <row r="26" ht="15.75" customHeight="1">
      <c r="A26" s="32" t="s">
        <v>84</v>
      </c>
      <c r="B26" s="26"/>
      <c r="C26" s="26"/>
      <c r="D26" s="26"/>
      <c r="E26" s="26"/>
      <c r="F26" s="26"/>
      <c r="G26" s="26">
        <v>1.0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BA26" s="39">
        <f t="shared" si="1"/>
        <v>1</v>
      </c>
    </row>
    <row r="27" ht="15.75" customHeight="1">
      <c r="A27" s="32" t="s">
        <v>68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>
        <v>1.0</v>
      </c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BA27" s="39">
        <f t="shared" si="1"/>
        <v>1</v>
      </c>
    </row>
    <row r="28" ht="15.75" customHeight="1">
      <c r="A28" s="32" t="s">
        <v>63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BA28" s="39">
        <f t="shared" si="1"/>
        <v>0</v>
      </c>
    </row>
    <row r="29" ht="15.75" customHeight="1">
      <c r="A29" s="32" t="s">
        <v>82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BA29" s="39">
        <f t="shared" si="1"/>
        <v>0</v>
      </c>
    </row>
    <row r="30" ht="15.75" customHeight="1">
      <c r="A30" s="32" t="s">
        <v>75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BA30" s="39">
        <f t="shared" si="1"/>
        <v>0</v>
      </c>
    </row>
    <row r="31" ht="15.75" customHeight="1">
      <c r="A31" s="32" t="s">
        <v>89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BA31" s="39">
        <f t="shared" si="1"/>
        <v>0</v>
      </c>
    </row>
    <row r="32" ht="15.75" customHeight="1">
      <c r="A32" s="32" t="s">
        <v>62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BA32" s="39">
        <f t="shared" si="1"/>
        <v>0</v>
      </c>
    </row>
    <row r="33" ht="15.75" customHeight="1">
      <c r="A33" s="32" t="s">
        <v>144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BA33" s="39">
        <f t="shared" si="1"/>
        <v>0</v>
      </c>
    </row>
    <row r="34" ht="15.75" customHeight="1">
      <c r="A34" s="32" t="s">
        <v>145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BA34" s="39">
        <f t="shared" si="1"/>
        <v>0</v>
      </c>
    </row>
    <row r="35" ht="15.75" customHeight="1">
      <c r="A35" s="32" t="s">
        <v>86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BA35" s="39">
        <f t="shared" si="1"/>
        <v>0</v>
      </c>
    </row>
    <row r="36" ht="15.75" customHeight="1">
      <c r="A36" s="32" t="s">
        <v>70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BA36" s="39">
        <f t="shared" si="1"/>
        <v>0</v>
      </c>
    </row>
    <row r="37" ht="15.75" customHeight="1">
      <c r="A37" s="32" t="s">
        <v>90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BA37" s="39">
        <f t="shared" si="1"/>
        <v>0</v>
      </c>
    </row>
    <row r="38" ht="15.75" customHeight="1">
      <c r="A38" s="32" t="s">
        <v>92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BA38" s="39">
        <f t="shared" si="1"/>
        <v>0</v>
      </c>
    </row>
    <row r="39" ht="15.75" customHeight="1">
      <c r="A39" s="8"/>
      <c r="B39" s="8"/>
      <c r="C39" s="9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55"/>
      <c r="X39" s="8"/>
      <c r="Y39" s="8"/>
      <c r="Z39" s="8"/>
      <c r="AA39" s="8"/>
      <c r="AB39" s="8"/>
      <c r="AC39" s="8"/>
      <c r="AD39" s="8"/>
      <c r="AE39" s="8"/>
      <c r="AF39" s="8"/>
      <c r="AG39" s="13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ht="15.75" customHeight="1">
      <c r="A40" s="2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ht="15.75" customHeight="1">
      <c r="A41" s="2" t="s">
        <v>146</v>
      </c>
      <c r="B41" s="5">
        <f t="shared" ref="B41:AY41" si="2">SUM(B5:B39)</f>
        <v>0</v>
      </c>
      <c r="C41" s="5">
        <f t="shared" si="2"/>
        <v>5</v>
      </c>
      <c r="D41" s="5">
        <f t="shared" si="2"/>
        <v>3</v>
      </c>
      <c r="E41" s="5">
        <f t="shared" si="2"/>
        <v>2</v>
      </c>
      <c r="F41" s="5">
        <f t="shared" si="2"/>
        <v>6</v>
      </c>
      <c r="G41" s="5">
        <f t="shared" si="2"/>
        <v>9</v>
      </c>
      <c r="H41" s="5">
        <f t="shared" si="2"/>
        <v>4</v>
      </c>
      <c r="I41" s="5">
        <f t="shared" si="2"/>
        <v>2</v>
      </c>
      <c r="J41" s="5">
        <f t="shared" si="2"/>
        <v>10</v>
      </c>
      <c r="K41" s="5">
        <f t="shared" si="2"/>
        <v>0</v>
      </c>
      <c r="L41" s="5">
        <f t="shared" si="2"/>
        <v>5</v>
      </c>
      <c r="M41" s="5">
        <f t="shared" si="2"/>
        <v>3</v>
      </c>
      <c r="N41" s="5">
        <f t="shared" si="2"/>
        <v>4</v>
      </c>
      <c r="O41" s="5">
        <f t="shared" si="2"/>
        <v>3</v>
      </c>
      <c r="P41" s="5">
        <f t="shared" si="2"/>
        <v>7</v>
      </c>
      <c r="Q41" s="5">
        <f t="shared" si="2"/>
        <v>2</v>
      </c>
      <c r="R41" s="5">
        <f t="shared" si="2"/>
        <v>6</v>
      </c>
      <c r="S41" s="5">
        <f t="shared" si="2"/>
        <v>2</v>
      </c>
      <c r="T41" s="5">
        <f t="shared" si="2"/>
        <v>3</v>
      </c>
      <c r="U41" s="5">
        <f t="shared" si="2"/>
        <v>2</v>
      </c>
      <c r="V41" s="5">
        <f t="shared" si="2"/>
        <v>11</v>
      </c>
      <c r="W41" s="5">
        <f t="shared" si="2"/>
        <v>0</v>
      </c>
      <c r="X41" s="5">
        <f t="shared" si="2"/>
        <v>2</v>
      </c>
      <c r="Y41" s="5">
        <f t="shared" si="2"/>
        <v>7</v>
      </c>
      <c r="Z41" s="5">
        <f t="shared" si="2"/>
        <v>8</v>
      </c>
      <c r="AA41" s="5">
        <f t="shared" si="2"/>
        <v>5</v>
      </c>
      <c r="AB41" s="5">
        <f t="shared" si="2"/>
        <v>5</v>
      </c>
      <c r="AC41" s="5">
        <f t="shared" si="2"/>
        <v>7</v>
      </c>
      <c r="AD41" s="5">
        <f t="shared" si="2"/>
        <v>9</v>
      </c>
      <c r="AE41" s="5">
        <f t="shared" si="2"/>
        <v>0</v>
      </c>
      <c r="AF41" s="5">
        <f t="shared" si="2"/>
        <v>3</v>
      </c>
      <c r="AG41" s="5">
        <f t="shared" si="2"/>
        <v>4</v>
      </c>
      <c r="AH41" s="5">
        <f t="shared" si="2"/>
        <v>2</v>
      </c>
      <c r="AI41" s="5">
        <f t="shared" si="2"/>
        <v>3</v>
      </c>
      <c r="AJ41" s="5">
        <f t="shared" si="2"/>
        <v>9</v>
      </c>
      <c r="AK41" s="5">
        <f t="shared" si="2"/>
        <v>1</v>
      </c>
      <c r="AL41" s="5">
        <f t="shared" si="2"/>
        <v>3</v>
      </c>
      <c r="AM41" s="5">
        <f t="shared" si="2"/>
        <v>5</v>
      </c>
      <c r="AN41" s="5">
        <f t="shared" si="2"/>
        <v>3</v>
      </c>
      <c r="AO41" s="5">
        <f t="shared" si="2"/>
        <v>3</v>
      </c>
      <c r="AP41" s="5">
        <f t="shared" si="2"/>
        <v>2</v>
      </c>
      <c r="AQ41" s="5">
        <f t="shared" si="2"/>
        <v>1</v>
      </c>
      <c r="AR41" s="5">
        <f t="shared" si="2"/>
        <v>5</v>
      </c>
      <c r="AS41" s="5">
        <f t="shared" si="2"/>
        <v>5</v>
      </c>
      <c r="AT41" s="5">
        <f t="shared" si="2"/>
        <v>4</v>
      </c>
      <c r="AU41" s="5">
        <f t="shared" si="2"/>
        <v>0</v>
      </c>
      <c r="AV41" s="5">
        <f t="shared" si="2"/>
        <v>0</v>
      </c>
      <c r="AW41" s="5">
        <f t="shared" si="2"/>
        <v>0</v>
      </c>
      <c r="AX41" s="5">
        <f t="shared" si="2"/>
        <v>0</v>
      </c>
      <c r="AY41" s="5">
        <f t="shared" si="2"/>
        <v>0</v>
      </c>
      <c r="BA41" s="39">
        <f>SUM(B41:AZ41)</f>
        <v>185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39" t="s">
        <v>147</v>
      </c>
      <c r="B1" s="39" t="s">
        <v>148</v>
      </c>
      <c r="C1" s="39" t="s">
        <v>149</v>
      </c>
      <c r="D1" s="39" t="s">
        <v>150</v>
      </c>
      <c r="E1" s="39" t="s">
        <v>151</v>
      </c>
      <c r="H1" s="5"/>
      <c r="I1" s="5"/>
      <c r="N1" s="5"/>
    </row>
    <row r="2">
      <c r="H2" s="5"/>
      <c r="I2" s="5"/>
      <c r="N2" s="5"/>
    </row>
    <row r="3">
      <c r="A3" s="44">
        <v>1.0</v>
      </c>
      <c r="B3" s="44" t="s">
        <v>152</v>
      </c>
      <c r="C3" s="44" t="s">
        <v>152</v>
      </c>
      <c r="D3" s="44" t="s">
        <v>152</v>
      </c>
      <c r="E3" s="44" t="s">
        <v>152</v>
      </c>
      <c r="G3" s="44"/>
      <c r="H3" s="5"/>
      <c r="I3" s="5"/>
      <c r="N3" s="5"/>
    </row>
    <row r="4">
      <c r="A4" s="44">
        <v>2.0</v>
      </c>
      <c r="B4" s="44" t="s">
        <v>153</v>
      </c>
      <c r="C4" s="44" t="s">
        <v>154</v>
      </c>
      <c r="D4" s="44"/>
      <c r="E4" s="44"/>
      <c r="G4" s="44"/>
      <c r="H4" s="5"/>
      <c r="I4" s="5"/>
      <c r="N4" s="5"/>
    </row>
    <row r="5">
      <c r="A5" s="44">
        <v>3.0</v>
      </c>
      <c r="B5" s="5" t="s">
        <v>155</v>
      </c>
      <c r="C5" s="5" t="s">
        <v>156</v>
      </c>
      <c r="D5" s="5" t="s">
        <v>157</v>
      </c>
      <c r="E5" s="5" t="s">
        <v>158</v>
      </c>
      <c r="G5" s="44"/>
      <c r="H5" s="5"/>
      <c r="I5" s="5"/>
      <c r="N5" s="5"/>
    </row>
    <row r="6">
      <c r="A6" s="44">
        <v>4.0</v>
      </c>
      <c r="B6" s="44" t="s">
        <v>159</v>
      </c>
      <c r="C6" s="44" t="s">
        <v>160</v>
      </c>
      <c r="D6" s="44" t="s">
        <v>152</v>
      </c>
      <c r="E6" s="44" t="s">
        <v>152</v>
      </c>
      <c r="G6" s="44"/>
      <c r="H6" s="5"/>
      <c r="I6" s="5"/>
      <c r="N6" s="5"/>
    </row>
    <row r="7">
      <c r="A7" s="44">
        <v>5.0</v>
      </c>
      <c r="B7" s="44" t="s">
        <v>161</v>
      </c>
      <c r="C7" s="44" t="s">
        <v>162</v>
      </c>
      <c r="D7" s="44" t="s">
        <v>163</v>
      </c>
      <c r="E7" s="44" t="s">
        <v>129</v>
      </c>
      <c r="G7" s="44"/>
      <c r="H7" s="5" t="s">
        <v>164</v>
      </c>
      <c r="I7" s="5"/>
      <c r="K7" s="39" t="s">
        <v>165</v>
      </c>
      <c r="M7" s="39" t="s">
        <v>146</v>
      </c>
      <c r="N7" s="5"/>
    </row>
    <row r="8">
      <c r="A8" s="44">
        <v>6.0</v>
      </c>
      <c r="B8" s="44" t="s">
        <v>166</v>
      </c>
      <c r="C8" s="44" t="s">
        <v>167</v>
      </c>
      <c r="D8" s="44" t="s">
        <v>168</v>
      </c>
      <c r="E8" s="44" t="s">
        <v>169</v>
      </c>
      <c r="G8" s="44"/>
      <c r="H8" s="5"/>
      <c r="I8" s="5"/>
      <c r="N8" s="5"/>
    </row>
    <row r="9">
      <c r="A9" s="44">
        <v>7.0</v>
      </c>
      <c r="B9" s="44" t="s">
        <v>170</v>
      </c>
      <c r="C9" s="44" t="s">
        <v>171</v>
      </c>
      <c r="D9" s="44" t="s">
        <v>172</v>
      </c>
      <c r="E9" s="44" t="s">
        <v>173</v>
      </c>
      <c r="G9" s="44"/>
      <c r="H9" s="5" t="s">
        <v>163</v>
      </c>
      <c r="I9" s="5">
        <v>7.0</v>
      </c>
      <c r="K9" s="5" t="s">
        <v>174</v>
      </c>
      <c r="L9" s="5">
        <v>3.0</v>
      </c>
      <c r="M9" s="5" t="s">
        <v>174</v>
      </c>
      <c r="N9" s="5">
        <v>9.0</v>
      </c>
    </row>
    <row r="10">
      <c r="A10" s="44">
        <v>8.0</v>
      </c>
      <c r="B10" s="44" t="s">
        <v>175</v>
      </c>
      <c r="C10" s="44" t="s">
        <v>176</v>
      </c>
      <c r="D10" s="44" t="s">
        <v>177</v>
      </c>
      <c r="E10" s="44" t="s">
        <v>178</v>
      </c>
      <c r="G10" s="44"/>
      <c r="H10" s="5" t="s">
        <v>179</v>
      </c>
      <c r="I10" s="5">
        <v>7.0</v>
      </c>
      <c r="K10" s="5" t="s">
        <v>180</v>
      </c>
      <c r="L10" s="5">
        <v>3.0</v>
      </c>
      <c r="M10" s="5" t="s">
        <v>179</v>
      </c>
      <c r="N10" s="5">
        <v>9.0</v>
      </c>
    </row>
    <row r="11">
      <c r="A11" s="44">
        <v>9.0</v>
      </c>
      <c r="B11" s="44" t="s">
        <v>181</v>
      </c>
      <c r="C11" s="44" t="s">
        <v>182</v>
      </c>
      <c r="D11" s="44" t="s">
        <v>180</v>
      </c>
      <c r="E11" s="44" t="s">
        <v>173</v>
      </c>
      <c r="G11" s="44"/>
      <c r="H11" s="5" t="s">
        <v>174</v>
      </c>
      <c r="I11" s="5">
        <v>6.0</v>
      </c>
      <c r="K11" s="5" t="s">
        <v>183</v>
      </c>
      <c r="L11" s="5">
        <v>3.0</v>
      </c>
      <c r="M11" s="5" t="s">
        <v>184</v>
      </c>
      <c r="N11" s="5">
        <v>8.0</v>
      </c>
    </row>
    <row r="12">
      <c r="A12" s="44">
        <v>10.0</v>
      </c>
      <c r="B12" s="44" t="s">
        <v>152</v>
      </c>
      <c r="C12" s="44" t="s">
        <v>152</v>
      </c>
      <c r="D12" s="44" t="s">
        <v>152</v>
      </c>
      <c r="E12" s="44" t="s">
        <v>152</v>
      </c>
      <c r="G12" s="44"/>
      <c r="H12" s="5" t="s">
        <v>184</v>
      </c>
      <c r="I12" s="5">
        <v>6.0</v>
      </c>
      <c r="K12" s="5" t="s">
        <v>173</v>
      </c>
      <c r="L12" s="5">
        <v>3.0</v>
      </c>
      <c r="M12" s="5" t="s">
        <v>178</v>
      </c>
      <c r="N12" s="5">
        <v>7.0</v>
      </c>
    </row>
    <row r="13">
      <c r="A13" s="44">
        <v>11.0</v>
      </c>
      <c r="B13" s="44" t="s">
        <v>185</v>
      </c>
      <c r="C13" s="44" t="s">
        <v>186</v>
      </c>
      <c r="D13" s="44" t="s">
        <v>125</v>
      </c>
      <c r="E13" s="44" t="s">
        <v>178</v>
      </c>
      <c r="F13" s="44"/>
      <c r="G13" s="44"/>
      <c r="H13" s="5" t="s">
        <v>157</v>
      </c>
      <c r="I13" s="5">
        <v>5.0</v>
      </c>
      <c r="K13" s="5" t="s">
        <v>187</v>
      </c>
      <c r="L13" s="5">
        <v>2.0</v>
      </c>
      <c r="M13" s="5" t="s">
        <v>173</v>
      </c>
      <c r="N13" s="5">
        <v>7.0</v>
      </c>
    </row>
    <row r="14">
      <c r="A14" s="44">
        <v>12.0</v>
      </c>
      <c r="B14" s="44" t="s">
        <v>188</v>
      </c>
      <c r="C14" s="44" t="s">
        <v>176</v>
      </c>
      <c r="D14" s="44" t="s">
        <v>163</v>
      </c>
      <c r="E14" s="44" t="s">
        <v>184</v>
      </c>
      <c r="G14" s="44"/>
      <c r="H14" s="5" t="s">
        <v>178</v>
      </c>
      <c r="I14" s="5">
        <v>5.0</v>
      </c>
      <c r="K14" s="5" t="s">
        <v>189</v>
      </c>
      <c r="L14" s="5">
        <v>2.0</v>
      </c>
      <c r="M14" s="5" t="s">
        <v>157</v>
      </c>
      <c r="N14" s="5">
        <v>6.0</v>
      </c>
    </row>
    <row r="15">
      <c r="A15" s="44">
        <v>13.0</v>
      </c>
      <c r="B15" s="44" t="s">
        <v>190</v>
      </c>
      <c r="C15" s="44" t="s">
        <v>171</v>
      </c>
      <c r="D15" s="44" t="s">
        <v>183</v>
      </c>
      <c r="E15" s="44" t="s">
        <v>179</v>
      </c>
      <c r="G15" s="44"/>
      <c r="H15" s="5" t="s">
        <v>189</v>
      </c>
      <c r="I15" s="5">
        <v>4.0</v>
      </c>
      <c r="K15" s="5" t="s">
        <v>179</v>
      </c>
      <c r="L15" s="5">
        <v>2.0</v>
      </c>
      <c r="M15" s="5" t="s">
        <v>163</v>
      </c>
      <c r="N15" s="5">
        <v>6.0</v>
      </c>
    </row>
    <row r="16">
      <c r="A16" s="44">
        <v>14.0</v>
      </c>
      <c r="B16" s="44" t="s">
        <v>191</v>
      </c>
      <c r="C16" s="44" t="s">
        <v>192</v>
      </c>
      <c r="D16" s="44" t="s">
        <v>184</v>
      </c>
      <c r="E16" s="44" t="s">
        <v>179</v>
      </c>
      <c r="G16" s="44"/>
      <c r="H16" s="5" t="s">
        <v>125</v>
      </c>
      <c r="I16" s="5">
        <v>4.0</v>
      </c>
      <c r="K16" s="5" t="s">
        <v>193</v>
      </c>
      <c r="L16" s="5">
        <v>2.0</v>
      </c>
      <c r="M16" s="5" t="s">
        <v>189</v>
      </c>
      <c r="N16" s="5">
        <v>6.0</v>
      </c>
    </row>
    <row r="17">
      <c r="A17" s="44">
        <v>15.0</v>
      </c>
      <c r="B17" s="44" t="s">
        <v>194</v>
      </c>
      <c r="C17" s="44" t="s">
        <v>195</v>
      </c>
      <c r="D17" s="44" t="s">
        <v>129</v>
      </c>
      <c r="E17" s="44" t="s">
        <v>180</v>
      </c>
      <c r="G17" s="44"/>
      <c r="H17" s="5" t="s">
        <v>172</v>
      </c>
      <c r="I17" s="5">
        <v>3.0</v>
      </c>
      <c r="K17" s="5" t="s">
        <v>184</v>
      </c>
      <c r="L17" s="5">
        <v>2.0</v>
      </c>
      <c r="M17" s="5" t="s">
        <v>180</v>
      </c>
      <c r="N17" s="5">
        <v>5.0</v>
      </c>
    </row>
    <row r="18">
      <c r="A18" s="44">
        <v>16.0</v>
      </c>
      <c r="B18" s="44" t="s">
        <v>175</v>
      </c>
      <c r="C18" s="44" t="s">
        <v>176</v>
      </c>
      <c r="D18" s="44" t="s">
        <v>196</v>
      </c>
      <c r="E18" s="44" t="s">
        <v>157</v>
      </c>
      <c r="G18" s="44"/>
      <c r="H18" s="5" t="s">
        <v>173</v>
      </c>
      <c r="I18" s="5">
        <v>3.0</v>
      </c>
      <c r="K18" s="5" t="s">
        <v>178</v>
      </c>
      <c r="L18" s="5">
        <v>2.0</v>
      </c>
      <c r="M18" s="5" t="s">
        <v>183</v>
      </c>
      <c r="N18" s="5">
        <v>5.0</v>
      </c>
    </row>
    <row r="19">
      <c r="A19" s="44">
        <v>17.0</v>
      </c>
      <c r="B19" s="44" t="s">
        <v>197</v>
      </c>
      <c r="C19" s="44" t="s">
        <v>198</v>
      </c>
      <c r="D19" s="44" t="s">
        <v>152</v>
      </c>
      <c r="E19" s="44" t="s">
        <v>152</v>
      </c>
      <c r="G19" s="44"/>
      <c r="H19" s="5" t="s">
        <v>129</v>
      </c>
      <c r="I19" s="5">
        <v>2.0</v>
      </c>
      <c r="K19" s="5" t="s">
        <v>128</v>
      </c>
      <c r="L19" s="5">
        <v>2.0</v>
      </c>
      <c r="M19" s="5" t="s">
        <v>172</v>
      </c>
      <c r="N19" s="5">
        <v>4.0</v>
      </c>
    </row>
    <row r="20">
      <c r="A20" s="44">
        <v>18.0</v>
      </c>
      <c r="B20" s="44" t="s">
        <v>199</v>
      </c>
      <c r="C20" s="44" t="s">
        <v>176</v>
      </c>
      <c r="D20" s="44" t="s">
        <v>200</v>
      </c>
      <c r="E20" s="44" t="s">
        <v>173</v>
      </c>
      <c r="G20" s="44"/>
      <c r="H20" s="5" t="s">
        <v>180</v>
      </c>
      <c r="I20" s="5">
        <v>2.0</v>
      </c>
      <c r="K20" s="5" t="s">
        <v>201</v>
      </c>
      <c r="L20" s="5">
        <v>2.0</v>
      </c>
      <c r="M20" s="5" t="s">
        <v>128</v>
      </c>
      <c r="N20" s="5">
        <v>4.0</v>
      </c>
    </row>
    <row r="21" ht="15.75" customHeight="1">
      <c r="A21" s="44">
        <v>19.0</v>
      </c>
      <c r="B21" s="44" t="s">
        <v>202</v>
      </c>
      <c r="C21" s="44" t="s">
        <v>156</v>
      </c>
      <c r="D21" s="44" t="s">
        <v>125</v>
      </c>
      <c r="E21" s="44" t="s">
        <v>126</v>
      </c>
      <c r="G21" s="44"/>
      <c r="H21" s="5" t="s">
        <v>196</v>
      </c>
      <c r="I21" s="5">
        <v>2.0</v>
      </c>
      <c r="K21" s="5" t="s">
        <v>203</v>
      </c>
      <c r="L21" s="5">
        <v>2.0</v>
      </c>
      <c r="M21" s="5" t="s">
        <v>125</v>
      </c>
      <c r="N21" s="5">
        <v>3.0</v>
      </c>
    </row>
    <row r="22" ht="15.75" customHeight="1">
      <c r="A22" s="44">
        <v>20.0</v>
      </c>
      <c r="B22" s="44" t="s">
        <v>204</v>
      </c>
      <c r="C22" s="44" t="s">
        <v>160</v>
      </c>
      <c r="D22" s="44" t="s">
        <v>152</v>
      </c>
      <c r="E22" s="44" t="s">
        <v>152</v>
      </c>
      <c r="G22" s="44"/>
      <c r="H22" s="5" t="s">
        <v>128</v>
      </c>
      <c r="I22" s="5">
        <v>2.0</v>
      </c>
      <c r="K22" s="5" t="s">
        <v>200</v>
      </c>
      <c r="L22" s="5"/>
      <c r="M22" s="5" t="s">
        <v>158</v>
      </c>
      <c r="N22" s="5">
        <v>3.0</v>
      </c>
    </row>
    <row r="23" ht="15.75" customHeight="1">
      <c r="A23" s="44">
        <v>21.0</v>
      </c>
      <c r="B23" s="44" t="s">
        <v>205</v>
      </c>
      <c r="C23" s="44" t="s">
        <v>206</v>
      </c>
      <c r="D23" s="44" t="s">
        <v>125</v>
      </c>
      <c r="E23" s="44" t="s">
        <v>179</v>
      </c>
      <c r="G23" s="44"/>
      <c r="H23" s="5" t="s">
        <v>158</v>
      </c>
      <c r="I23" s="5">
        <v>2.0</v>
      </c>
      <c r="K23" s="5" t="s">
        <v>158</v>
      </c>
      <c r="L23" s="5"/>
      <c r="M23" s="5" t="s">
        <v>187</v>
      </c>
      <c r="N23" s="5">
        <v>3.0</v>
      </c>
    </row>
    <row r="24" ht="15.75" customHeight="1">
      <c r="A24" s="44">
        <v>22.0</v>
      </c>
      <c r="B24" s="44" t="s">
        <v>152</v>
      </c>
      <c r="C24" s="44" t="s">
        <v>152</v>
      </c>
      <c r="D24" s="44" t="s">
        <v>152</v>
      </c>
      <c r="E24" s="44" t="s">
        <v>152</v>
      </c>
      <c r="G24" s="44"/>
      <c r="H24" s="5" t="s">
        <v>207</v>
      </c>
      <c r="I24" s="5">
        <v>2.0</v>
      </c>
      <c r="K24" s="5" t="s">
        <v>177</v>
      </c>
      <c r="L24" s="5"/>
      <c r="M24" s="5" t="s">
        <v>207</v>
      </c>
      <c r="N24" s="5">
        <v>3.0</v>
      </c>
    </row>
    <row r="25" ht="15.75" customHeight="1">
      <c r="A25" s="44">
        <v>23.0</v>
      </c>
      <c r="B25" s="44" t="s">
        <v>208</v>
      </c>
      <c r="C25" s="44" t="s">
        <v>176</v>
      </c>
      <c r="D25" s="44" t="s">
        <v>157</v>
      </c>
      <c r="E25" s="44" t="s">
        <v>179</v>
      </c>
      <c r="G25" s="44"/>
      <c r="H25" s="5" t="s">
        <v>183</v>
      </c>
      <c r="I25" s="5">
        <v>2.0</v>
      </c>
      <c r="K25" s="5" t="s">
        <v>172</v>
      </c>
      <c r="L25" s="5"/>
      <c r="M25" s="5" t="s">
        <v>201</v>
      </c>
      <c r="N25" s="5">
        <v>3.0</v>
      </c>
    </row>
    <row r="26" ht="15.75" customHeight="1">
      <c r="A26" s="44">
        <v>24.0</v>
      </c>
      <c r="B26" s="44" t="s">
        <v>209</v>
      </c>
      <c r="C26" s="44" t="s">
        <v>195</v>
      </c>
      <c r="D26" s="44" t="s">
        <v>189</v>
      </c>
      <c r="E26" s="44" t="s">
        <v>174</v>
      </c>
      <c r="G26" s="44"/>
      <c r="H26" s="5" t="s">
        <v>210</v>
      </c>
      <c r="I26" s="5"/>
      <c r="K26" s="5" t="s">
        <v>157</v>
      </c>
      <c r="L26" s="5"/>
      <c r="M26" s="5" t="s">
        <v>129</v>
      </c>
      <c r="N26" s="5">
        <v>2.0</v>
      </c>
    </row>
    <row r="27" ht="15.75" customHeight="1">
      <c r="A27" s="44">
        <v>25.0</v>
      </c>
      <c r="B27" s="44" t="s">
        <v>211</v>
      </c>
      <c r="C27" s="44" t="s">
        <v>212</v>
      </c>
      <c r="D27" s="44" t="s">
        <v>189</v>
      </c>
      <c r="E27" s="44" t="s">
        <v>179</v>
      </c>
      <c r="G27" s="44"/>
      <c r="H27" s="5" t="s">
        <v>177</v>
      </c>
      <c r="I27" s="5"/>
      <c r="K27" s="5" t="s">
        <v>213</v>
      </c>
      <c r="M27" s="5" t="s">
        <v>200</v>
      </c>
      <c r="N27" s="5">
        <v>2.0</v>
      </c>
    </row>
    <row r="28" ht="15.75" customHeight="1">
      <c r="A28" s="44">
        <v>26.0</v>
      </c>
      <c r="B28" s="44" t="s">
        <v>214</v>
      </c>
      <c r="C28" s="44" t="s">
        <v>186</v>
      </c>
      <c r="D28" s="44" t="s">
        <v>128</v>
      </c>
      <c r="E28" s="44" t="s">
        <v>157</v>
      </c>
      <c r="G28" s="44"/>
      <c r="H28" s="5" t="s">
        <v>126</v>
      </c>
      <c r="I28" s="5"/>
      <c r="K28" s="5" t="s">
        <v>207</v>
      </c>
      <c r="M28" s="5" t="s">
        <v>177</v>
      </c>
      <c r="N28" s="5">
        <v>2.0</v>
      </c>
    </row>
    <row r="29" ht="15.75" customHeight="1">
      <c r="A29" s="44">
        <v>27.0</v>
      </c>
      <c r="B29" s="44" t="s">
        <v>215</v>
      </c>
      <c r="C29" s="44" t="s">
        <v>186</v>
      </c>
      <c r="D29" s="44" t="s">
        <v>172</v>
      </c>
      <c r="E29" s="44" t="s">
        <v>163</v>
      </c>
      <c r="H29" s="5" t="s">
        <v>216</v>
      </c>
      <c r="I29" s="5"/>
      <c r="K29" s="5"/>
      <c r="M29" s="5" t="s">
        <v>196</v>
      </c>
      <c r="N29" s="5">
        <v>2.0</v>
      </c>
    </row>
    <row r="30" ht="15.75" customHeight="1">
      <c r="A30" s="44">
        <v>28.0</v>
      </c>
      <c r="B30" s="44" t="s">
        <v>217</v>
      </c>
      <c r="C30" s="44" t="s">
        <v>195</v>
      </c>
      <c r="D30" s="44" t="s">
        <v>184</v>
      </c>
      <c r="E30" s="44" t="s">
        <v>172</v>
      </c>
      <c r="H30" s="5" t="s">
        <v>127</v>
      </c>
      <c r="I30" s="5"/>
      <c r="K30" s="5"/>
      <c r="M30" s="5" t="s">
        <v>193</v>
      </c>
      <c r="N30" s="5">
        <v>2.0</v>
      </c>
    </row>
    <row r="31" ht="15.75" customHeight="1">
      <c r="A31" s="44">
        <v>29.0</v>
      </c>
      <c r="B31" s="44" t="s">
        <v>218</v>
      </c>
      <c r="C31" s="44" t="s">
        <v>219</v>
      </c>
      <c r="D31" s="44" t="s">
        <v>163</v>
      </c>
      <c r="E31" s="44" t="s">
        <v>174</v>
      </c>
      <c r="H31" s="5" t="s">
        <v>187</v>
      </c>
      <c r="I31" s="5"/>
      <c r="K31" s="5"/>
      <c r="M31" s="5" t="s">
        <v>203</v>
      </c>
      <c r="N31" s="5">
        <v>2.0</v>
      </c>
    </row>
    <row r="32" ht="15.75" customHeight="1">
      <c r="A32" s="44">
        <v>30.0</v>
      </c>
      <c r="B32" s="44" t="s">
        <v>159</v>
      </c>
      <c r="C32" s="44" t="s">
        <v>220</v>
      </c>
      <c r="D32" s="44" t="s">
        <v>152</v>
      </c>
      <c r="E32" s="44" t="s">
        <v>152</v>
      </c>
      <c r="H32" s="5" t="s">
        <v>201</v>
      </c>
      <c r="I32" s="5"/>
      <c r="K32" s="5"/>
      <c r="M32" s="5" t="s">
        <v>210</v>
      </c>
      <c r="N32" s="56">
        <v>1.0</v>
      </c>
    </row>
    <row r="33" ht="15.75" customHeight="1">
      <c r="A33" s="44">
        <v>31.0</v>
      </c>
      <c r="B33" s="44" t="s">
        <v>221</v>
      </c>
      <c r="C33" s="44" t="s">
        <v>192</v>
      </c>
      <c r="D33" s="44" t="s">
        <v>189</v>
      </c>
      <c r="E33" s="44" t="s">
        <v>216</v>
      </c>
      <c r="H33" s="5"/>
      <c r="I33" s="5"/>
      <c r="M33" s="5" t="s">
        <v>126</v>
      </c>
      <c r="N33" s="56">
        <v>1.0</v>
      </c>
    </row>
    <row r="34" ht="15.75" customHeight="1">
      <c r="A34" s="44">
        <v>32.0</v>
      </c>
      <c r="B34" s="44" t="s">
        <v>222</v>
      </c>
      <c r="C34" s="44" t="s">
        <v>198</v>
      </c>
      <c r="D34" s="44" t="s">
        <v>152</v>
      </c>
      <c r="E34" s="44" t="s">
        <v>152</v>
      </c>
      <c r="H34" s="5"/>
      <c r="I34" s="5"/>
      <c r="M34" s="5" t="s">
        <v>223</v>
      </c>
      <c r="N34" s="56">
        <v>1.0</v>
      </c>
    </row>
    <row r="35" ht="15.75" customHeight="1">
      <c r="A35" s="44">
        <v>33.0</v>
      </c>
      <c r="B35" s="44" t="s">
        <v>224</v>
      </c>
      <c r="C35" s="44" t="s">
        <v>176</v>
      </c>
      <c r="D35" s="44" t="s">
        <v>196</v>
      </c>
      <c r="E35" s="44" t="s">
        <v>163</v>
      </c>
      <c r="H35" s="5"/>
      <c r="I35" s="5"/>
      <c r="M35" s="5" t="s">
        <v>213</v>
      </c>
      <c r="N35" s="56">
        <v>1.0</v>
      </c>
    </row>
    <row r="36" ht="15.75" customHeight="1">
      <c r="A36" s="44">
        <v>34.0</v>
      </c>
      <c r="B36" s="44" t="s">
        <v>225</v>
      </c>
      <c r="C36" s="44" t="s">
        <v>156</v>
      </c>
      <c r="D36" s="44" t="s">
        <v>163</v>
      </c>
      <c r="E36" s="44" t="s">
        <v>174</v>
      </c>
      <c r="H36" s="5"/>
      <c r="I36" s="5"/>
      <c r="M36" s="5" t="s">
        <v>127</v>
      </c>
      <c r="N36" s="56">
        <v>1.0</v>
      </c>
    </row>
    <row r="37" ht="15.75" customHeight="1">
      <c r="A37" s="44">
        <v>35.0</v>
      </c>
      <c r="B37" s="44" t="s">
        <v>226</v>
      </c>
      <c r="C37" s="44" t="s">
        <v>167</v>
      </c>
      <c r="D37" s="44" t="s">
        <v>178</v>
      </c>
      <c r="E37" s="44" t="s">
        <v>184</v>
      </c>
      <c r="H37" s="5"/>
      <c r="I37" s="5"/>
      <c r="M37" s="5"/>
      <c r="N37" s="5"/>
    </row>
    <row r="38" ht="15.75" customHeight="1">
      <c r="A38" s="44">
        <v>36.0</v>
      </c>
      <c r="B38" s="44" t="s">
        <v>227</v>
      </c>
      <c r="C38" s="44" t="s">
        <v>228</v>
      </c>
      <c r="D38" s="44" t="s">
        <v>128</v>
      </c>
      <c r="E38" s="44" t="s">
        <v>178</v>
      </c>
      <c r="H38" s="5"/>
      <c r="I38" s="5"/>
      <c r="N38" s="5"/>
    </row>
    <row r="39" ht="15.75" customHeight="1">
      <c r="A39" s="44">
        <v>37.0</v>
      </c>
      <c r="B39" s="44" t="s">
        <v>229</v>
      </c>
      <c r="C39" s="44" t="s">
        <v>192</v>
      </c>
      <c r="D39" s="44" t="s">
        <v>189</v>
      </c>
      <c r="E39" s="44" t="s">
        <v>184</v>
      </c>
      <c r="H39" s="5"/>
      <c r="I39" s="5"/>
      <c r="N39" s="5"/>
    </row>
    <row r="40" ht="15.75" customHeight="1">
      <c r="A40" s="44">
        <v>38.0</v>
      </c>
      <c r="B40" s="44" t="s">
        <v>230</v>
      </c>
      <c r="C40" s="44" t="s">
        <v>154</v>
      </c>
      <c r="D40" s="44" t="s">
        <v>127</v>
      </c>
      <c r="E40" s="44" t="s">
        <v>174</v>
      </c>
      <c r="H40" s="5"/>
      <c r="I40" s="5"/>
      <c r="N40" s="5"/>
    </row>
    <row r="41" ht="15.75" customHeight="1">
      <c r="A41" s="44">
        <v>39.0</v>
      </c>
      <c r="B41" s="44" t="s">
        <v>231</v>
      </c>
      <c r="C41" s="44" t="s">
        <v>192</v>
      </c>
      <c r="D41" s="44" t="s">
        <v>179</v>
      </c>
      <c r="E41" s="44" t="s">
        <v>158</v>
      </c>
      <c r="H41" s="5"/>
      <c r="I41" s="5"/>
      <c r="N41" s="5"/>
    </row>
    <row r="42" ht="15.75" customHeight="1">
      <c r="A42" s="44">
        <v>40.0</v>
      </c>
      <c r="B42" s="44" t="s">
        <v>232</v>
      </c>
      <c r="C42" s="44" t="s">
        <v>192</v>
      </c>
      <c r="D42" s="44" t="s">
        <v>207</v>
      </c>
      <c r="E42" s="44" t="s">
        <v>187</v>
      </c>
      <c r="H42" s="5"/>
      <c r="I42" s="5"/>
      <c r="N42" s="5"/>
    </row>
    <row r="43" ht="15.75" customHeight="1">
      <c r="A43" s="44">
        <v>41.0</v>
      </c>
      <c r="B43" s="44" t="s">
        <v>233</v>
      </c>
      <c r="C43" s="44" t="s">
        <v>176</v>
      </c>
      <c r="D43" s="44" t="s">
        <v>207</v>
      </c>
      <c r="E43" s="44" t="s">
        <v>201</v>
      </c>
      <c r="H43" s="5"/>
      <c r="I43" s="5"/>
      <c r="N43" s="5"/>
    </row>
    <row r="44" ht="15.75" customHeight="1">
      <c r="A44" s="44">
        <v>42.0</v>
      </c>
      <c r="B44" s="44" t="s">
        <v>234</v>
      </c>
      <c r="C44" s="44" t="s">
        <v>228</v>
      </c>
      <c r="D44" s="44" t="s">
        <v>163</v>
      </c>
      <c r="E44" s="44" t="s">
        <v>125</v>
      </c>
      <c r="H44" s="5"/>
      <c r="I44" s="5"/>
      <c r="N44" s="5"/>
    </row>
    <row r="45" ht="15.75" customHeight="1">
      <c r="A45" s="44">
        <v>43.0</v>
      </c>
      <c r="B45" s="44" t="s">
        <v>235</v>
      </c>
      <c r="C45" s="44" t="s">
        <v>154</v>
      </c>
      <c r="D45" s="44" t="s">
        <v>152</v>
      </c>
      <c r="E45" s="44" t="s">
        <v>152</v>
      </c>
      <c r="H45" s="5"/>
      <c r="I45" s="5"/>
      <c r="N45" s="5"/>
    </row>
    <row r="46" ht="15.75" customHeight="1">
      <c r="A46" s="44">
        <v>44.0</v>
      </c>
      <c r="B46" s="44" t="s">
        <v>236</v>
      </c>
      <c r="C46" s="44" t="s">
        <v>154</v>
      </c>
      <c r="D46" s="44" t="s">
        <v>173</v>
      </c>
      <c r="E46" s="44" t="s">
        <v>179</v>
      </c>
      <c r="H46" s="5"/>
      <c r="I46" s="5"/>
      <c r="N46" s="5"/>
    </row>
    <row r="47" ht="15.75" customHeight="1">
      <c r="A47" s="44">
        <v>45.0</v>
      </c>
      <c r="B47" s="44" t="s">
        <v>237</v>
      </c>
      <c r="C47" s="44" t="s">
        <v>171</v>
      </c>
      <c r="D47" s="44" t="s">
        <v>184</v>
      </c>
      <c r="E47" s="44" t="s">
        <v>183</v>
      </c>
      <c r="H47" s="5"/>
      <c r="I47" s="5"/>
      <c r="N47" s="5"/>
    </row>
    <row r="48" ht="15.75" customHeight="1">
      <c r="A48" s="44">
        <v>46.0</v>
      </c>
      <c r="B48" s="44"/>
      <c r="C48" s="44"/>
      <c r="D48" s="44"/>
      <c r="E48" s="44"/>
      <c r="H48" s="5"/>
      <c r="I48" s="5"/>
      <c r="N48" s="5"/>
    </row>
    <row r="49" ht="15.75" customHeight="1">
      <c r="A49" s="44">
        <v>47.0</v>
      </c>
      <c r="B49" s="44"/>
      <c r="C49" s="44"/>
      <c r="D49" s="44"/>
      <c r="E49" s="44"/>
      <c r="H49" s="5"/>
      <c r="I49" s="5"/>
      <c r="N49" s="5"/>
    </row>
    <row r="50" ht="15.75" customHeight="1">
      <c r="A50" s="44">
        <v>48.0</v>
      </c>
      <c r="B50" s="44"/>
      <c r="C50" s="44"/>
      <c r="D50" s="44"/>
      <c r="E50" s="44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50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