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Table" sheetId="1" r:id="rId4"/>
    <sheet state="visible" name="Captains" sheetId="2" r:id="rId5"/>
    <sheet state="visible" name="MOTM" sheetId="3" r:id="rId6"/>
    <sheet state="visible" name="Goals" sheetId="4" r:id="rId7"/>
    <sheet state="visible" name="Board Room" sheetId="5" r:id="rId8"/>
  </sheets>
  <definedNames>
    <definedName hidden="1" localSheetId="4" name="_xlnm._FilterDatabase">'Board Room'!$A$1:$F$47</definedName>
  </definedNames>
  <calcPr/>
  <extLst>
    <ext uri="GoogleSheetsCustomDataVersion2">
      <go:sheetsCustomData xmlns:go="http://customooxmlschemas.google.com/" r:id="rId9" roundtripDataChecksum="aTQSGjBjdWTSUdBP8zMVHJ0tqHC3Hgzj7fohIPAWu8c="/>
    </ext>
  </extLst>
</workbook>
</file>

<file path=xl/sharedStrings.xml><?xml version="1.0" encoding="utf-8"?>
<sst xmlns="http://schemas.openxmlformats.org/spreadsheetml/2006/main" count="524" uniqueCount="219">
  <si>
    <t>MARLOW DUKES 2026</t>
  </si>
  <si>
    <t>PLAYER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</si>
  <si>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</si>
  <si>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</si>
  <si>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</si>
  <si>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</si>
  <si>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</si>
  <si>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</si>
  <si>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</si>
  <si>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</si>
  <si>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</si>
  <si>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</si>
  <si>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</si>
  <si>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</si>
  <si>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</si>
  <si>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</si>
  <si>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</si>
  <si>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</si>
  <si>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</si>
  <si>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</si>
  <si>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</si>
  <si>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</si>
  <si>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</si>
  <si>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</si>
  <si>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</si>
  <si>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</si>
  <si>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</si>
  <si>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</si>
  <si>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</si>
  <si>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</si>
  <si>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</si>
  <si>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</si>
  <si>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</si>
  <si>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</si>
  <si>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</si>
  <si>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</si>
  <si>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</si>
  <si>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</si>
  <si>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</si>
  <si>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</si>
  <si>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</si>
  <si>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</si>
  <si>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</si>
  <si>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</si>
  <si>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</si>
  <si>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</si>
  <si>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</si>
  <si>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</si>
  <si>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</si>
  <si>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</si>
  <si>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</si>
  <si>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POSITION</t>
  </si>
  <si>
    <t>PLAYED</t>
  </si>
  <si>
    <t>WON</t>
  </si>
  <si>
    <t>DRAWN</t>
  </si>
  <si>
    <t>LOST</t>
  </si>
  <si>
    <t>PTS</t>
  </si>
  <si>
    <t>G/D</t>
  </si>
  <si>
    <t>%</t>
  </si>
  <si>
    <t>POSH CHRIS</t>
  </si>
  <si>
    <t>IAN</t>
  </si>
  <si>
    <t>KERMIT</t>
  </si>
  <si>
    <t>BRUCE</t>
  </si>
  <si>
    <t>ARTIST</t>
  </si>
  <si>
    <t>SONES</t>
  </si>
  <si>
    <t>CAPTAIN KIRK</t>
  </si>
  <si>
    <t>PRESTON</t>
  </si>
  <si>
    <t>SWAMPY</t>
  </si>
  <si>
    <t>ZIGZAG</t>
  </si>
  <si>
    <t>BROWN NOSE</t>
  </si>
  <si>
    <t>FATHER TED</t>
  </si>
  <si>
    <t>KRYTON</t>
  </si>
  <si>
    <t>GOBBY</t>
  </si>
  <si>
    <t>TONY W</t>
  </si>
  <si>
    <t>INSPECTOR GADGET</t>
  </si>
  <si>
    <t>DWARF</t>
  </si>
  <si>
    <t>FLO</t>
  </si>
  <si>
    <t>DUNCAN</t>
  </si>
  <si>
    <t>DOBBO</t>
  </si>
  <si>
    <t>BANKSY</t>
  </si>
  <si>
    <t>WILSON</t>
  </si>
  <si>
    <t>GUEST</t>
  </si>
  <si>
    <t>CARLOS</t>
  </si>
  <si>
    <t>PHANTOM</t>
  </si>
  <si>
    <t>DOM</t>
  </si>
  <si>
    <t>GUEST 2</t>
  </si>
  <si>
    <t>DITCH</t>
  </si>
  <si>
    <t>TOY BOY</t>
  </si>
  <si>
    <t>CARZOLA</t>
  </si>
  <si>
    <t>STEPTOE</t>
  </si>
  <si>
    <t xml:space="preserve">MAMAS </t>
  </si>
  <si>
    <t>WOGER</t>
  </si>
  <si>
    <t>VINCE</t>
  </si>
  <si>
    <t>STEPHEN JEFFERY</t>
  </si>
  <si>
    <t>MARTIN PANTER</t>
  </si>
  <si>
    <t>MOO</t>
  </si>
  <si>
    <t># PLAYERS</t>
  </si>
  <si>
    <t>SCORE</t>
  </si>
  <si>
    <t xml:space="preserve"> 2-2</t>
  </si>
  <si>
    <t xml:space="preserve"> 2-0</t>
  </si>
  <si>
    <t xml:space="preserve"> 0-0</t>
  </si>
  <si>
    <t xml:space="preserve"> 5-3</t>
  </si>
  <si>
    <t xml:space="preserve"> 4-3</t>
  </si>
  <si>
    <t xml:space="preserve"> 2-1</t>
  </si>
  <si>
    <t xml:space="preserve"> 5-4</t>
  </si>
  <si>
    <t xml:space="preserve"> 7-3</t>
  </si>
  <si>
    <t xml:space="preserve"> 4-2</t>
  </si>
  <si>
    <t xml:space="preserve"> 6-4</t>
  </si>
  <si>
    <t xml:space="preserve"> 1-1</t>
  </si>
  <si>
    <t xml:space="preserve"> 5-0</t>
  </si>
  <si>
    <t xml:space="preserve"> 5-1</t>
  </si>
  <si>
    <t xml:space="preserve"> 7-4</t>
  </si>
  <si>
    <t>Void</t>
  </si>
  <si>
    <t xml:space="preserve"> 3-3</t>
  </si>
  <si>
    <t xml:space="preserve"> 1-0</t>
  </si>
  <si>
    <t xml:space="preserve"> 4-1</t>
  </si>
  <si>
    <t xml:space="preserve"> 7-5</t>
  </si>
  <si>
    <t xml:space="preserve"> 5-5</t>
  </si>
  <si>
    <t xml:space="preserve"> 6-1</t>
  </si>
  <si>
    <t>P</t>
  </si>
  <si>
    <t>W</t>
  </si>
  <si>
    <t>D</t>
  </si>
  <si>
    <t>L</t>
  </si>
  <si>
    <t>GD</t>
  </si>
  <si>
    <t>Games</t>
  </si>
  <si>
    <t>Ratio</t>
  </si>
  <si>
    <t>IDIOT</t>
  </si>
  <si>
    <t>MAMAS</t>
  </si>
  <si>
    <t>MICK</t>
  </si>
  <si>
    <t>WK 50</t>
  </si>
  <si>
    <t>VOTES</t>
  </si>
  <si>
    <t>WINS</t>
  </si>
  <si>
    <t>SHARED</t>
  </si>
  <si>
    <t>STEPHEN J</t>
  </si>
  <si>
    <t># VOTES</t>
  </si>
  <si>
    <t>MARLOW DUKES 2026- Goals</t>
  </si>
  <si>
    <t>TOTAL</t>
  </si>
  <si>
    <t>OG</t>
  </si>
  <si>
    <t>STEPHEN P</t>
  </si>
  <si>
    <t>SONESY</t>
  </si>
  <si>
    <t>Total</t>
  </si>
  <si>
    <t>Week</t>
  </si>
  <si>
    <t>Captain</t>
  </si>
  <si>
    <t>Result</t>
  </si>
  <si>
    <t>Called In 1</t>
  </si>
  <si>
    <t>Called In 2</t>
  </si>
  <si>
    <t>Phantom - Brown Nose</t>
  </si>
  <si>
    <t>Drew 2-2</t>
  </si>
  <si>
    <t>Kermit - Idiot</t>
  </si>
  <si>
    <t>Lost 0-2</t>
  </si>
  <si>
    <t>Gadget</t>
  </si>
  <si>
    <t>Martin</t>
  </si>
  <si>
    <t>Wilson - ZigZag</t>
  </si>
  <si>
    <t>Drew 0-0</t>
  </si>
  <si>
    <t>Posh - Brown Nose</t>
  </si>
  <si>
    <t>Duncan</t>
  </si>
  <si>
    <t>Chosen</t>
  </si>
  <si>
    <t>As Captain</t>
  </si>
  <si>
    <t>Bruce - Preston</t>
  </si>
  <si>
    <t>Lost 3-5</t>
  </si>
  <si>
    <t>Posh</t>
  </si>
  <si>
    <t>Kryton - Duncan</t>
  </si>
  <si>
    <t>Lost 3-4</t>
  </si>
  <si>
    <t>Preston</t>
  </si>
  <si>
    <t>Bruce</t>
  </si>
  <si>
    <t>Kermit</t>
  </si>
  <si>
    <t>Phantom</t>
  </si>
  <si>
    <t>Gobby - Gadget</t>
  </si>
  <si>
    <t>Lost 1-2</t>
  </si>
  <si>
    <t>Stephen J</t>
  </si>
  <si>
    <t>Swampy</t>
  </si>
  <si>
    <t>Father Ted - Captain Kirk</t>
  </si>
  <si>
    <t>Lost 4-5</t>
  </si>
  <si>
    <t>Tony</t>
  </si>
  <si>
    <t>Flo</t>
  </si>
  <si>
    <t>Dwarf v Artist</t>
  </si>
  <si>
    <t>Brown Nose</t>
  </si>
  <si>
    <t>Flo - Sonesy</t>
  </si>
  <si>
    <t>Lost 3-7</t>
  </si>
  <si>
    <t>Artist</t>
  </si>
  <si>
    <t>Moo v Carzola</t>
  </si>
  <si>
    <t>Lost 2-4</t>
  </si>
  <si>
    <t>Gobby</t>
  </si>
  <si>
    <t>Espen</t>
  </si>
  <si>
    <t>Kryton</t>
  </si>
  <si>
    <t>Swampy - Carlos</t>
  </si>
  <si>
    <t>Lost 4-6</t>
  </si>
  <si>
    <t>Posh v Preston</t>
  </si>
  <si>
    <t>Drew 1-1</t>
  </si>
  <si>
    <t>Father Ted</t>
  </si>
  <si>
    <t>Banksy v Tony W</t>
  </si>
  <si>
    <t>Lost 0-5</t>
  </si>
  <si>
    <t>Captain Kirk</t>
  </si>
  <si>
    <t>Moo</t>
  </si>
  <si>
    <t>Tony W</t>
  </si>
  <si>
    <t>Father Ted v Phantom</t>
  </si>
  <si>
    <t>Lost 1-5</t>
  </si>
  <si>
    <t>ZigZag</t>
  </si>
  <si>
    <t>Banksy</t>
  </si>
  <si>
    <t>Kermit v Bruce</t>
  </si>
  <si>
    <t>Lost 4-7</t>
  </si>
  <si>
    <t>ZigZag v Duncan</t>
  </si>
  <si>
    <t xml:space="preserve">Drew </t>
  </si>
  <si>
    <t>Sones v Carzola</t>
  </si>
  <si>
    <t>Drew 3-3</t>
  </si>
  <si>
    <t>Gobby v Idiot</t>
  </si>
  <si>
    <t>Swampy - Artist</t>
  </si>
  <si>
    <t>Lost 0-1</t>
  </si>
  <si>
    <t>Mamas</t>
  </si>
  <si>
    <t>Preston - Bruce</t>
  </si>
  <si>
    <t>Lost 1-4</t>
  </si>
  <si>
    <t>Flo - Posh</t>
  </si>
  <si>
    <t>Lost 5-7</t>
  </si>
  <si>
    <t>Phantom - Banksy</t>
  </si>
  <si>
    <t>Idiot - Kryton</t>
  </si>
  <si>
    <t>Drew 5-5</t>
  </si>
  <si>
    <t>Kermit - Captain Kirk</t>
  </si>
  <si>
    <t>Tony W - Dwarf</t>
  </si>
  <si>
    <t>Lost 1-6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</si>
</sst>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rgb="FFDD0806"/>
      <name val="Calibri"/>
    </font>
    <font>
      <b/>
      <sz val="11.0"/>
      <color rgb="FF333399"/>
      <name val="Calibri"/>
    </font>
    <font>
      <sz val="11.0"/>
      <color rgb="FF00641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" xfId="0" applyFont="1" applyNumberFormat="1"/>
    <xf borderId="1" fillId="0" fontId="1" numFmtId="0" xfId="0" applyBorder="1" applyFont="1"/>
    <xf borderId="1" fillId="0" fontId="6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16" xfId="0" applyBorder="1" applyFont="1" applyNumberFormat="1"/>
    <xf borderId="1" fillId="0" fontId="1" numFmtId="0" xfId="0" applyAlignment="1" applyBorder="1" applyFont="1">
      <alignment horizontal="left"/>
    </xf>
    <xf borderId="2" fillId="0" fontId="2" numFmtId="0" xfId="0" applyBorder="1" applyFont="1"/>
    <xf borderId="2" fillId="2" fontId="5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/>
    </xf>
    <xf borderId="2" fillId="3" fontId="5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/>
    </xf>
    <xf borderId="0" fillId="0" fontId="5" numFmtId="1" xfId="0" applyFont="1" applyNumberFormat="1"/>
    <xf borderId="0" fillId="0" fontId="5" numFmtId="9" xfId="0" applyFont="1" applyNumberFormat="1"/>
    <xf borderId="0" fillId="0" fontId="7" numFmtId="0" xfId="0" applyAlignment="1" applyFont="1">
      <alignment horizontal="center"/>
    </xf>
    <xf borderId="3" fillId="0" fontId="2" numFmtId="0" xfId="0" applyBorder="1" applyFont="1"/>
    <xf borderId="3" fillId="2" fontId="5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/>
    </xf>
    <xf borderId="3" fillId="4" fontId="5" numFmtId="0" xfId="0" applyAlignment="1" applyBorder="1" applyFill="1" applyFont="1">
      <alignment horizontal="center"/>
    </xf>
    <xf borderId="4" fillId="0" fontId="2" numFmtId="0" xfId="0" applyBorder="1" applyFont="1"/>
    <xf borderId="1" fillId="2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  <xf borderId="5" fillId="0" fontId="2" numFmtId="0" xfId="0" applyBorder="1" applyFont="1"/>
    <xf borderId="6" fillId="2" fontId="5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center"/>
    </xf>
    <xf borderId="6" fillId="3" fontId="5" numFmtId="0" xfId="0" applyAlignment="1" applyBorder="1" applyFill="1" applyFont="1">
      <alignment horizontal="center"/>
    </xf>
    <xf borderId="6" fillId="4" fontId="5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5" fillId="0" fontId="6" numFmtId="0" xfId="0" applyBorder="1" applyFont="1"/>
    <xf borderId="0" fillId="0" fontId="6" numFmtId="0" xfId="0" applyFont="1"/>
    <xf quotePrefix="1"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5" numFmtId="16" xfId="0" applyAlignment="1" applyFont="1" applyNumberFormat="1">
      <alignment horizontal="center"/>
    </xf>
    <xf borderId="0" fillId="0" fontId="2" numFmtId="9" xfId="0" applyFont="1" applyNumberFormat="1"/>
    <xf borderId="0" fillId="0" fontId="8" numFmtId="0" xfId="0" applyFont="1"/>
    <xf borderId="0" fillId="0" fontId="9" numFmtId="0" xfId="0" applyFont="1"/>
    <xf borderId="7" fillId="0" fontId="5" numFmtId="0" xfId="0" applyBorder="1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right"/>
    </xf>
    <xf borderId="8" fillId="0" fontId="1" numFmtId="0" xfId="0" applyBorder="1" applyFont="1"/>
    <xf borderId="2" fillId="5" fontId="5" numFmtId="0" xfId="0" applyAlignment="1" applyBorder="1" applyFill="1" applyFont="1">
      <alignment horizontal="center"/>
    </xf>
    <xf borderId="9" fillId="0" fontId="1" numFmtId="0" xfId="0" applyBorder="1" applyFont="1"/>
    <xf borderId="9" fillId="0" fontId="6" numFmtId="0" xfId="0" applyBorder="1" applyFont="1"/>
    <xf borderId="9" fillId="0" fontId="7" numFmtId="0" xfId="0" applyAlignment="1" applyBorder="1" applyFont="1">
      <alignment horizontal="center"/>
    </xf>
    <xf borderId="5" fillId="0" fontId="1" numFmtId="0" xfId="0" applyBorder="1" applyFont="1"/>
    <xf borderId="5" fillId="0" fontId="7" numFmtId="0" xfId="0" applyAlignment="1" applyBorder="1" applyFont="1">
      <alignment horizontal="center"/>
    </xf>
    <xf borderId="6" fillId="5" fontId="1" numFmtId="0" xfId="0" applyBorder="1" applyFill="1" applyFont="1"/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/>
    </xf>
    <xf borderId="10" fillId="0" fontId="5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/>
    </xf>
    <xf borderId="11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6" fillId="5" fontId="5" numFmtId="0" xfId="0" applyAlignment="1" applyBorder="1" applyFill="1" applyFont="1">
      <alignment horizontal="center"/>
    </xf>
    <xf borderId="13" fillId="6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22.71"/>
    <col customWidth="1" min="2" max="2" width="7.0"/>
    <col customWidth="1" min="3" max="6" width="6.0"/>
    <col customWidth="1" min="7" max="7" width="6.71"/>
    <col customWidth="1" min="8" max="8" width="7.0"/>
    <col customWidth="1" min="9" max="9" width="6.86"/>
    <col customWidth="1" min="10" max="10" width="7.14"/>
    <col customWidth="1" min="11" max="11" width="6.86"/>
    <col customWidth="1" min="12" max="12" width="7.43"/>
    <col customWidth="1" min="13" max="13" width="6.71"/>
    <col customWidth="1" min="14" max="14" width="7.29"/>
    <col customWidth="1" min="15" max="16" width="6.0"/>
    <col customWidth="1" min="17" max="18" width="6.0" outlineLevel="1"/>
    <col customWidth="1" min="19" max="20" width="6.86" outlineLevel="1"/>
    <col customWidth="1" min="21" max="21" width="7.14" outlineLevel="1"/>
    <col customWidth="1" min="22" max="23" width="6.86" outlineLevel="1"/>
    <col customWidth="1" min="24" max="24" width="6.71" outlineLevel="1"/>
    <col customWidth="1" min="25" max="27" width="6.43" outlineLevel="1"/>
    <col customWidth="1" min="28" max="28" width="6.71" outlineLevel="1"/>
    <col customWidth="1" min="29" max="31" width="6.0" outlineLevel="1"/>
    <col customWidth="1" min="32" max="36" width="6.43" outlineLevel="1"/>
    <col customWidth="1" min="37" max="37" width="6.29" outlineLevel="1"/>
    <col customWidth="1" min="38" max="39" width="6.86" outlineLevel="1"/>
    <col customWidth="1" min="40" max="41" width="6.71" outlineLevel="1"/>
    <col customWidth="1" min="42" max="42" width="6.43" outlineLevel="1"/>
    <col customWidth="1" min="43" max="49" width="6.71" outlineLevel="1"/>
    <col customWidth="1" min="50" max="50" width="8.29" outlineLevel="1"/>
    <col customWidth="1" min="51" max="51" width="9.14"/>
    <col customWidth="1" min="52" max="53" width="8.86"/>
    <col customWidth="1" min="54" max="54" width="10.29"/>
    <col customWidth="1" min="55" max="60" width="8.86"/>
  </cols>
  <sheetData>
    <row r="1">
      <c r="A1" s="1" t="s">
        <v>0</v>
      </c>
      <c r="B1" s="1"/>
      <c r="D1" s="2"/>
      <c r="F1" s="3"/>
      <c r="H1" s="4"/>
      <c r="W1" s="5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>
      <c r="B2" s="7">
        <v>46028.0</v>
      </c>
      <c r="C2" s="7">
        <v>46035.0</v>
      </c>
      <c r="D2" s="7">
        <v>46042.0</v>
      </c>
      <c r="E2" s="7">
        <v>46049.0</v>
      </c>
      <c r="F2" s="7">
        <v>46056.0</v>
      </c>
      <c r="G2" s="7">
        <v>46063.0</v>
      </c>
      <c r="H2" s="7">
        <v>46070.0</v>
      </c>
      <c r="I2" s="7">
        <v>46077.0</v>
      </c>
      <c r="J2" s="7">
        <v>46084.0</v>
      </c>
      <c r="K2" s="7">
        <v>46091.0</v>
      </c>
      <c r="L2" s="7">
        <v>46098.0</v>
      </c>
      <c r="M2" s="7">
        <v>46105.0</v>
      </c>
      <c r="N2" s="7">
        <v>46112.0</v>
      </c>
      <c r="O2" s="7">
        <v>46119.0</v>
      </c>
      <c r="P2" s="7">
        <v>46126.0</v>
      </c>
      <c r="Q2" s="7">
        <v>46133.0</v>
      </c>
      <c r="R2" s="7">
        <v>46140.0</v>
      </c>
      <c r="S2" s="7">
        <v>46147.0</v>
      </c>
      <c r="T2" s="7">
        <v>46154.0</v>
      </c>
      <c r="U2" s="7">
        <v>46161.0</v>
      </c>
      <c r="V2" s="7">
        <v>46168.0</v>
      </c>
      <c r="W2" s="7">
        <v>46175.0</v>
      </c>
      <c r="X2" s="7">
        <v>46182.0</v>
      </c>
      <c r="Y2" s="7">
        <v>46189.0</v>
      </c>
      <c r="Z2" s="7">
        <v>46196.0</v>
      </c>
      <c r="AA2" s="7">
        <v>46203.0</v>
      </c>
      <c r="AB2" s="7">
        <v>46210.0</v>
      </c>
      <c r="AC2" s="7">
        <v>46217.0</v>
      </c>
      <c r="AD2" s="7">
        <v>46224.0</v>
      </c>
      <c r="AE2" s="7">
        <v>46231.0</v>
      </c>
      <c r="AF2" s="7">
        <v>46238.0</v>
      </c>
      <c r="AG2" s="7">
        <v>46245.0</v>
      </c>
      <c r="AH2" s="7">
        <v>46252.0</v>
      </c>
      <c r="AI2" s="7">
        <v>46259.0</v>
      </c>
      <c r="AJ2" s="7">
        <v>46266.0</v>
      </c>
      <c r="AK2" s="7">
        <v>46273.0</v>
      </c>
      <c r="AL2" s="7">
        <v>46280.0</v>
      </c>
      <c r="AM2" s="7">
        <v>46287.0</v>
      </c>
      <c r="AN2" s="7">
        <v>46294.0</v>
      </c>
      <c r="AO2" s="7">
        <v>46301.0</v>
      </c>
      <c r="AP2" s="7">
        <v>46308.0</v>
      </c>
      <c r="AQ2" s="7">
        <v>46315.0</v>
      </c>
      <c r="AR2" s="7">
        <v>46322.0</v>
      </c>
      <c r="AS2" s="7">
        <v>46329.0</v>
      </c>
      <c r="AT2" s="7">
        <v>46336.0</v>
      </c>
      <c r="AU2" s="7">
        <v>46343.0</v>
      </c>
      <c r="AV2" s="7">
        <v>46350.0</v>
      </c>
      <c r="AW2" s="7">
        <v>46357.0</v>
      </c>
      <c r="AX2" s="7">
        <v>46364.0</v>
      </c>
    </row>
    <row r="3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10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36</v>
      </c>
      <c r="AK3" s="8" t="s">
        <v>37</v>
      </c>
      <c r="AL3" s="8" t="s">
        <v>38</v>
      </c>
      <c r="AM3" s="8" t="s">
        <v>39</v>
      </c>
      <c r="AN3" s="8" t="s">
        <v>40</v>
      </c>
      <c r="AO3" s="8" t="s">
        <v>41</v>
      </c>
      <c r="AP3" s="8" t="s">
        <v>42</v>
      </c>
      <c r="AQ3" s="8" t="s">
        <v>43</v>
      </c>
      <c r="AR3" s="8" t="s">
        <v>44</v>
      </c>
      <c r="AS3" s="9" t="s">
        <v>45</v>
      </c>
      <c r="AT3" s="8" t="s">
        <v>46</v>
      </c>
      <c r="AU3" s="8" t="s">
        <v>47</v>
      </c>
      <c r="AV3" s="8" t="s">
        <v>48</v>
      </c>
      <c r="AW3" s="8" t="s">
        <v>49</v>
      </c>
      <c r="AX3" s="8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1" t="s">
        <v>57</v>
      </c>
      <c r="BF3" s="11" t="s">
        <v>58</v>
      </c>
      <c r="BG3" s="11"/>
      <c r="BH3" s="1"/>
    </row>
    <row r="4">
      <c r="A4" s="8"/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8"/>
      <c r="AD4" s="8"/>
      <c r="AE4" s="8"/>
      <c r="AF4" s="8"/>
      <c r="AG4" s="13"/>
      <c r="AH4" s="8"/>
      <c r="AI4" s="13"/>
      <c r="AJ4" s="13"/>
      <c r="AK4" s="13"/>
      <c r="AL4" s="13"/>
      <c r="AM4" s="13"/>
      <c r="AN4" s="13"/>
      <c r="AO4" s="13"/>
      <c r="AP4" s="13"/>
      <c r="AQ4" s="13"/>
      <c r="AR4" s="8"/>
      <c r="AS4" s="9"/>
      <c r="AT4" s="8"/>
      <c r="AU4" s="8"/>
      <c r="AV4" s="8"/>
      <c r="AW4" s="8"/>
      <c r="AX4" s="8"/>
      <c r="AY4" s="1"/>
      <c r="AZ4" s="1"/>
      <c r="BA4" s="1"/>
      <c r="BB4" s="1"/>
      <c r="BC4" s="1"/>
      <c r="BD4" s="1"/>
      <c r="BE4" s="11"/>
      <c r="BF4" s="11"/>
      <c r="BG4" s="11"/>
      <c r="BH4" s="1"/>
    </row>
    <row r="5">
      <c r="A5" s="14" t="s">
        <v>59</v>
      </c>
      <c r="B5" s="15"/>
      <c r="C5" s="16">
        <v>0.0</v>
      </c>
      <c r="D5" s="16">
        <v>2.0</v>
      </c>
      <c r="E5" s="16">
        <v>0.0</v>
      </c>
      <c r="F5" s="17">
        <v>-2.0</v>
      </c>
      <c r="G5" s="16">
        <v>-2.0</v>
      </c>
      <c r="H5" s="16">
        <v>1.0</v>
      </c>
      <c r="I5" s="16">
        <v>1.0</v>
      </c>
      <c r="J5" s="16">
        <v>1.0</v>
      </c>
      <c r="K5" s="16">
        <v>0.0</v>
      </c>
      <c r="L5" s="16">
        <v>4.0</v>
      </c>
      <c r="M5" s="16">
        <v>2.0</v>
      </c>
      <c r="N5" s="16">
        <v>2.0</v>
      </c>
      <c r="O5" s="17">
        <v>0.0</v>
      </c>
      <c r="P5" s="16">
        <v>5.0</v>
      </c>
      <c r="Q5" s="16">
        <v>4.0</v>
      </c>
      <c r="R5" s="16">
        <v>3.0</v>
      </c>
      <c r="S5" s="15"/>
      <c r="T5" s="16">
        <v>0.0</v>
      </c>
      <c r="U5" s="16">
        <v>0.0</v>
      </c>
      <c r="V5" s="16">
        <v>0.0</v>
      </c>
      <c r="W5" s="16"/>
      <c r="X5" s="15"/>
      <c r="Y5" s="16">
        <v>-1.0</v>
      </c>
      <c r="Z5" s="18"/>
      <c r="AA5" s="16">
        <v>3.0</v>
      </c>
      <c r="AB5" s="17">
        <v>2.0</v>
      </c>
      <c r="AC5" s="16">
        <v>-2.0</v>
      </c>
      <c r="AD5" s="16">
        <v>0.0</v>
      </c>
      <c r="AE5" s="16">
        <v>1.0</v>
      </c>
      <c r="AF5" s="16">
        <v>-5.0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9">
        <v>1.0</v>
      </c>
      <c r="AZ5" s="5">
        <f t="shared" ref="AZ5:AZ41" si="1">COUNT(B5:AX5)</f>
        <v>26</v>
      </c>
      <c r="BA5" s="5">
        <f t="shared" ref="BA5:BA41" si="2">COUNTIF($B5:$AX5, "&gt;=1")</f>
        <v>13</v>
      </c>
      <c r="BB5" s="5">
        <f t="shared" ref="BB5:BB41" si="3">COUNTIF($B5:$AX5, "0")</f>
        <v>8</v>
      </c>
      <c r="BC5" s="5">
        <f t="shared" ref="BC5:BC41" si="4">COUNTIF($B5:$AX5, "&lt;0")</f>
        <v>5</v>
      </c>
      <c r="BD5" s="5">
        <f t="shared" ref="BD5:BD41" si="5">SUM(BA5*3)+BB5</f>
        <v>47</v>
      </c>
      <c r="BE5" s="5">
        <f t="shared" ref="BE5:BE41" si="6">SUM(B5:AX5)</f>
        <v>19</v>
      </c>
      <c r="BF5" s="20">
        <f t="shared" ref="BF5:BF41" si="7">SUM(BA5*3+BB5*1)/SUM(AZ5*3)</f>
        <v>0.6025641026</v>
      </c>
      <c r="BG5" s="20"/>
      <c r="BH5" s="21"/>
    </row>
    <row r="6">
      <c r="A6" s="22" t="s">
        <v>60</v>
      </c>
      <c r="B6" s="23"/>
      <c r="C6" s="24"/>
      <c r="D6" s="25">
        <v>2.0</v>
      </c>
      <c r="E6" s="24">
        <v>0.0</v>
      </c>
      <c r="F6" s="24">
        <v>2.0</v>
      </c>
      <c r="G6" s="24">
        <v>2.0</v>
      </c>
      <c r="H6" s="24">
        <v>1.0</v>
      </c>
      <c r="I6" s="24">
        <v>-1.0</v>
      </c>
      <c r="J6" s="24">
        <v>-1.0</v>
      </c>
      <c r="K6" s="24">
        <v>0.0</v>
      </c>
      <c r="L6" s="24">
        <v>4.0</v>
      </c>
      <c r="M6" s="24"/>
      <c r="N6" s="24">
        <v>-2.0</v>
      </c>
      <c r="O6" s="24">
        <v>0.0</v>
      </c>
      <c r="P6" s="24">
        <v>5.0</v>
      </c>
      <c r="Q6" s="24">
        <v>4.0</v>
      </c>
      <c r="R6" s="24"/>
      <c r="S6" s="23"/>
      <c r="T6" s="24"/>
      <c r="U6" s="24"/>
      <c r="V6" s="24">
        <v>0.0</v>
      </c>
      <c r="W6" s="25">
        <v>0.0</v>
      </c>
      <c r="X6" s="23"/>
      <c r="Y6" s="24">
        <v>1.0</v>
      </c>
      <c r="Z6" s="26"/>
      <c r="AA6" s="24"/>
      <c r="AB6" s="24">
        <v>2.0</v>
      </c>
      <c r="AC6" s="24">
        <v>2.0</v>
      </c>
      <c r="AD6" s="25">
        <v>0.0</v>
      </c>
      <c r="AE6" s="24">
        <v>-1.0</v>
      </c>
      <c r="AF6" s="24">
        <v>-5.0</v>
      </c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19">
        <v>2.0</v>
      </c>
      <c r="AZ6" s="5">
        <f t="shared" si="1"/>
        <v>21</v>
      </c>
      <c r="BA6" s="5">
        <f t="shared" si="2"/>
        <v>10</v>
      </c>
      <c r="BB6" s="5">
        <f t="shared" si="3"/>
        <v>6</v>
      </c>
      <c r="BC6" s="5">
        <f t="shared" si="4"/>
        <v>5</v>
      </c>
      <c r="BD6" s="5">
        <f t="shared" si="5"/>
        <v>36</v>
      </c>
      <c r="BE6" s="5">
        <f t="shared" si="6"/>
        <v>15</v>
      </c>
      <c r="BF6" s="20">
        <f t="shared" si="7"/>
        <v>0.5714285714</v>
      </c>
      <c r="BG6" s="20"/>
      <c r="BH6" s="5"/>
    </row>
    <row r="7">
      <c r="A7" s="27" t="s">
        <v>61</v>
      </c>
      <c r="B7" s="28"/>
      <c r="C7" s="29">
        <v>0.0</v>
      </c>
      <c r="D7" s="30">
        <v>-2.0</v>
      </c>
      <c r="E7" s="29">
        <v>0.0</v>
      </c>
      <c r="F7" s="29">
        <v>2.0</v>
      </c>
      <c r="G7" s="29">
        <v>2.0</v>
      </c>
      <c r="H7" s="29">
        <v>-1.0</v>
      </c>
      <c r="I7" s="29">
        <v>1.0</v>
      </c>
      <c r="J7" s="29">
        <v>1.0</v>
      </c>
      <c r="K7" s="29">
        <v>0.0</v>
      </c>
      <c r="L7" s="29"/>
      <c r="M7" s="29"/>
      <c r="N7" s="29">
        <v>2.0</v>
      </c>
      <c r="O7" s="29">
        <v>0.0</v>
      </c>
      <c r="P7" s="29">
        <v>5.0</v>
      </c>
      <c r="Q7" s="29">
        <v>4.0</v>
      </c>
      <c r="R7" s="30">
        <v>-3.0</v>
      </c>
      <c r="S7" s="28"/>
      <c r="T7" s="29">
        <v>0.0</v>
      </c>
      <c r="U7" s="29">
        <v>0.0</v>
      </c>
      <c r="V7" s="29"/>
      <c r="W7" s="29"/>
      <c r="X7" s="28"/>
      <c r="Y7" s="29">
        <v>1.0</v>
      </c>
      <c r="Z7" s="31"/>
      <c r="AA7" s="29">
        <v>-3.0</v>
      </c>
      <c r="AB7" s="29">
        <v>2.0</v>
      </c>
      <c r="AC7" s="29"/>
      <c r="AD7" s="29">
        <v>0.0</v>
      </c>
      <c r="AE7" s="30">
        <v>-1.0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19">
        <v>3.0</v>
      </c>
      <c r="AZ7" s="5">
        <f t="shared" si="1"/>
        <v>21</v>
      </c>
      <c r="BA7" s="5">
        <f t="shared" si="2"/>
        <v>9</v>
      </c>
      <c r="BB7" s="5">
        <f t="shared" si="3"/>
        <v>7</v>
      </c>
      <c r="BC7" s="5">
        <f t="shared" si="4"/>
        <v>5</v>
      </c>
      <c r="BD7" s="5">
        <f t="shared" si="5"/>
        <v>34</v>
      </c>
      <c r="BE7" s="5">
        <f t="shared" si="6"/>
        <v>10</v>
      </c>
      <c r="BF7" s="20">
        <f t="shared" si="7"/>
        <v>0.5396825397</v>
      </c>
      <c r="BG7" s="20"/>
      <c r="BH7" s="5"/>
    </row>
    <row r="8">
      <c r="A8" s="14" t="s">
        <v>62</v>
      </c>
      <c r="B8" s="15"/>
      <c r="C8" s="16">
        <v>0.0</v>
      </c>
      <c r="D8" s="16">
        <v>2.0</v>
      </c>
      <c r="E8" s="16">
        <v>0.0</v>
      </c>
      <c r="F8" s="16"/>
      <c r="G8" s="17">
        <v>-2.0</v>
      </c>
      <c r="H8" s="16">
        <v>-1.0</v>
      </c>
      <c r="I8" s="16">
        <v>1.0</v>
      </c>
      <c r="J8" s="16">
        <v>-1.0</v>
      </c>
      <c r="K8" s="16">
        <v>0.0</v>
      </c>
      <c r="L8" s="16">
        <v>-4.0</v>
      </c>
      <c r="M8" s="16">
        <v>-2.0</v>
      </c>
      <c r="N8" s="16">
        <v>-2.0</v>
      </c>
      <c r="O8" s="16"/>
      <c r="P8" s="16">
        <v>-5.0</v>
      </c>
      <c r="Q8" s="16">
        <v>-4.0</v>
      </c>
      <c r="R8" s="17">
        <v>3.0</v>
      </c>
      <c r="S8" s="15"/>
      <c r="T8" s="16">
        <v>0.0</v>
      </c>
      <c r="U8" s="16"/>
      <c r="V8" s="16">
        <v>0.0</v>
      </c>
      <c r="W8" s="16">
        <v>0.0</v>
      </c>
      <c r="X8" s="15"/>
      <c r="Y8" s="16">
        <v>1.0</v>
      </c>
      <c r="Z8" s="18"/>
      <c r="AA8" s="17">
        <v>3.0</v>
      </c>
      <c r="AB8" s="16">
        <v>2.0</v>
      </c>
      <c r="AC8" s="16">
        <v>2.0</v>
      </c>
      <c r="AD8" s="16">
        <v>0.0</v>
      </c>
      <c r="AE8" s="16">
        <v>1.0</v>
      </c>
      <c r="AF8" s="16">
        <v>-5.0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9">
        <v>4.0</v>
      </c>
      <c r="AZ8" s="5">
        <f t="shared" si="1"/>
        <v>24</v>
      </c>
      <c r="BA8" s="5">
        <f t="shared" si="2"/>
        <v>8</v>
      </c>
      <c r="BB8" s="5">
        <f t="shared" si="3"/>
        <v>7</v>
      </c>
      <c r="BC8" s="5">
        <f t="shared" si="4"/>
        <v>9</v>
      </c>
      <c r="BD8" s="5">
        <f t="shared" si="5"/>
        <v>31</v>
      </c>
      <c r="BE8" s="5">
        <f t="shared" si="6"/>
        <v>-11</v>
      </c>
      <c r="BF8" s="20">
        <f t="shared" si="7"/>
        <v>0.4305555556</v>
      </c>
      <c r="BG8" s="20"/>
      <c r="BH8" s="5"/>
    </row>
    <row r="9">
      <c r="A9" s="32" t="s">
        <v>63</v>
      </c>
      <c r="B9" s="33"/>
      <c r="C9" s="34"/>
      <c r="D9" s="34">
        <v>2.0</v>
      </c>
      <c r="E9" s="34"/>
      <c r="F9" s="34"/>
      <c r="G9" s="34"/>
      <c r="H9" s="34"/>
      <c r="I9" s="34">
        <v>-1.0</v>
      </c>
      <c r="J9" s="34">
        <v>1.0</v>
      </c>
      <c r="K9" s="35">
        <v>0.0</v>
      </c>
      <c r="L9" s="34">
        <v>-4.0</v>
      </c>
      <c r="M9" s="34">
        <v>-2.0</v>
      </c>
      <c r="N9" s="34">
        <v>-2.0</v>
      </c>
      <c r="O9" s="34">
        <v>0.0</v>
      </c>
      <c r="P9" s="34">
        <v>5.0</v>
      </c>
      <c r="Q9" s="34">
        <v>4.0</v>
      </c>
      <c r="R9" s="34"/>
      <c r="S9" s="33"/>
      <c r="T9" s="34">
        <v>0.0</v>
      </c>
      <c r="U9" s="34"/>
      <c r="V9" s="34"/>
      <c r="W9" s="34"/>
      <c r="X9" s="33"/>
      <c r="Y9" s="35">
        <v>1.0</v>
      </c>
      <c r="Z9" s="36"/>
      <c r="AA9" s="34">
        <v>-3.0</v>
      </c>
      <c r="AB9" s="34">
        <v>2.0</v>
      </c>
      <c r="AC9" s="34">
        <v>2.0</v>
      </c>
      <c r="AD9" s="34">
        <v>0.0</v>
      </c>
      <c r="AE9" s="34">
        <v>-1.0</v>
      </c>
      <c r="AF9" s="34">
        <v>5.0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19">
        <v>5.0</v>
      </c>
      <c r="AZ9" s="5">
        <f t="shared" si="1"/>
        <v>18</v>
      </c>
      <c r="BA9" s="5">
        <f t="shared" si="2"/>
        <v>8</v>
      </c>
      <c r="BB9" s="5">
        <f t="shared" si="3"/>
        <v>4</v>
      </c>
      <c r="BC9" s="5">
        <f t="shared" si="4"/>
        <v>6</v>
      </c>
      <c r="BD9" s="5">
        <f t="shared" si="5"/>
        <v>28</v>
      </c>
      <c r="BE9" s="5">
        <f t="shared" si="6"/>
        <v>9</v>
      </c>
      <c r="BF9" s="20">
        <f t="shared" si="7"/>
        <v>0.5185185185</v>
      </c>
      <c r="BG9" s="20"/>
      <c r="BH9" s="5"/>
    </row>
    <row r="10">
      <c r="A10" s="32" t="s">
        <v>64</v>
      </c>
      <c r="B10" s="33"/>
      <c r="C10" s="34">
        <v>0.0</v>
      </c>
      <c r="D10" s="34">
        <v>-2.0</v>
      </c>
      <c r="E10" s="34">
        <v>0.0</v>
      </c>
      <c r="F10" s="34"/>
      <c r="G10" s="34"/>
      <c r="H10" s="34"/>
      <c r="I10" s="34"/>
      <c r="J10" s="34">
        <v>-1.0</v>
      </c>
      <c r="K10" s="34"/>
      <c r="L10" s="35">
        <v>4.0</v>
      </c>
      <c r="M10" s="34">
        <v>-2.0</v>
      </c>
      <c r="N10" s="29">
        <v>2.0</v>
      </c>
      <c r="O10" s="29">
        <v>0.0</v>
      </c>
      <c r="P10" s="29">
        <v>-5.0</v>
      </c>
      <c r="Q10" s="29"/>
      <c r="R10" s="34"/>
      <c r="S10" s="33"/>
      <c r="T10" s="34">
        <v>0.0</v>
      </c>
      <c r="U10" s="34">
        <v>0.0</v>
      </c>
      <c r="V10" s="35">
        <v>0.0</v>
      </c>
      <c r="W10" s="34">
        <v>0.0</v>
      </c>
      <c r="X10" s="33"/>
      <c r="Y10" s="34">
        <v>1.0</v>
      </c>
      <c r="Z10" s="36"/>
      <c r="AA10" s="34">
        <v>3.0</v>
      </c>
      <c r="AB10" s="34">
        <v>2.0</v>
      </c>
      <c r="AC10" s="34">
        <v>2.0</v>
      </c>
      <c r="AD10" s="34"/>
      <c r="AE10" s="34">
        <v>1.0</v>
      </c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19">
        <v>6.0</v>
      </c>
      <c r="AZ10" s="5">
        <f t="shared" si="1"/>
        <v>18</v>
      </c>
      <c r="BA10" s="5">
        <f t="shared" si="2"/>
        <v>7</v>
      </c>
      <c r="BB10" s="5">
        <f t="shared" si="3"/>
        <v>7</v>
      </c>
      <c r="BC10" s="5">
        <f t="shared" si="4"/>
        <v>4</v>
      </c>
      <c r="BD10" s="5">
        <f t="shared" si="5"/>
        <v>28</v>
      </c>
      <c r="BE10" s="5">
        <f t="shared" si="6"/>
        <v>5</v>
      </c>
      <c r="BF10" s="20">
        <f t="shared" si="7"/>
        <v>0.5185185185</v>
      </c>
      <c r="BG10" s="20"/>
      <c r="BH10" s="5"/>
    </row>
    <row r="11">
      <c r="A11" s="37" t="s">
        <v>65</v>
      </c>
      <c r="B11" s="28"/>
      <c r="C11" s="29">
        <v>0.0</v>
      </c>
      <c r="D11" s="29"/>
      <c r="E11" s="29">
        <v>0.0</v>
      </c>
      <c r="F11" s="29">
        <v>-2.0</v>
      </c>
      <c r="G11" s="29">
        <v>2.0</v>
      </c>
      <c r="H11" s="29">
        <v>-1.0</v>
      </c>
      <c r="I11" s="29">
        <v>1.0</v>
      </c>
      <c r="J11" s="30">
        <v>1.0</v>
      </c>
      <c r="K11" s="29">
        <v>0.0</v>
      </c>
      <c r="L11" s="29"/>
      <c r="M11" s="29"/>
      <c r="N11" s="29"/>
      <c r="O11" s="29">
        <v>0.0</v>
      </c>
      <c r="P11" s="29">
        <v>-5.0</v>
      </c>
      <c r="Q11" s="29"/>
      <c r="R11" s="29">
        <v>3.0</v>
      </c>
      <c r="S11" s="28"/>
      <c r="T11" s="29">
        <v>0.0</v>
      </c>
      <c r="U11" s="29">
        <v>0.0</v>
      </c>
      <c r="V11" s="29">
        <v>0.0</v>
      </c>
      <c r="W11" s="29">
        <v>0.0</v>
      </c>
      <c r="X11" s="28"/>
      <c r="Y11" s="29"/>
      <c r="Z11" s="31"/>
      <c r="AA11" s="29">
        <v>-3.0</v>
      </c>
      <c r="AB11" s="29"/>
      <c r="AC11" s="29"/>
      <c r="AD11" s="29">
        <v>0.0</v>
      </c>
      <c r="AE11" s="30">
        <v>1.0</v>
      </c>
      <c r="AF11" s="29">
        <v>5.0</v>
      </c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19">
        <v>7.0</v>
      </c>
      <c r="AZ11" s="5">
        <f t="shared" si="1"/>
        <v>19</v>
      </c>
      <c r="BA11" s="5">
        <f t="shared" si="2"/>
        <v>6</v>
      </c>
      <c r="BB11" s="5">
        <f t="shared" si="3"/>
        <v>9</v>
      </c>
      <c r="BC11" s="5">
        <f t="shared" si="4"/>
        <v>4</v>
      </c>
      <c r="BD11" s="5">
        <f t="shared" si="5"/>
        <v>27</v>
      </c>
      <c r="BE11" s="5">
        <f t="shared" si="6"/>
        <v>2</v>
      </c>
      <c r="BF11" s="20">
        <f t="shared" si="7"/>
        <v>0.4736842105</v>
      </c>
      <c r="BG11" s="20"/>
      <c r="BH11" s="5"/>
    </row>
    <row r="12">
      <c r="A12" s="37" t="s">
        <v>66</v>
      </c>
      <c r="B12" s="28"/>
      <c r="C12" s="29">
        <v>0.0</v>
      </c>
      <c r="D12" s="29">
        <v>2.0</v>
      </c>
      <c r="E12" s="29">
        <v>0.0</v>
      </c>
      <c r="F12" s="29">
        <v>2.0</v>
      </c>
      <c r="G12" s="30">
        <v>2.0</v>
      </c>
      <c r="H12" s="29">
        <v>-1.0</v>
      </c>
      <c r="I12" s="29">
        <v>-1.0</v>
      </c>
      <c r="J12" s="29">
        <v>1.0</v>
      </c>
      <c r="K12" s="29">
        <v>0.0</v>
      </c>
      <c r="L12" s="29">
        <v>-4.0</v>
      </c>
      <c r="M12" s="29">
        <v>2.0</v>
      </c>
      <c r="N12" s="29">
        <v>-2.0</v>
      </c>
      <c r="O12" s="30">
        <v>0.0</v>
      </c>
      <c r="P12" s="29">
        <v>5.0</v>
      </c>
      <c r="Q12" s="29">
        <v>0.0</v>
      </c>
      <c r="R12" s="29">
        <v>-3.0</v>
      </c>
      <c r="S12" s="28"/>
      <c r="T12" s="29">
        <v>0.0</v>
      </c>
      <c r="U12" s="29">
        <v>0.0</v>
      </c>
      <c r="V12" s="29">
        <v>0.0</v>
      </c>
      <c r="W12" s="29">
        <v>0.0</v>
      </c>
      <c r="X12" s="28"/>
      <c r="Y12" s="29">
        <v>-1.0</v>
      </c>
      <c r="Z12" s="31"/>
      <c r="AA12" s="30">
        <v>-3.0</v>
      </c>
      <c r="AB12" s="29">
        <v>-2.0</v>
      </c>
      <c r="AC12" s="29">
        <v>-2.0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19">
        <v>8.0</v>
      </c>
      <c r="AZ12" s="5">
        <f t="shared" si="1"/>
        <v>24</v>
      </c>
      <c r="BA12" s="5">
        <f t="shared" si="2"/>
        <v>6</v>
      </c>
      <c r="BB12" s="5">
        <f t="shared" si="3"/>
        <v>9</v>
      </c>
      <c r="BC12" s="5">
        <f t="shared" si="4"/>
        <v>9</v>
      </c>
      <c r="BD12" s="5">
        <f t="shared" si="5"/>
        <v>27</v>
      </c>
      <c r="BE12" s="5">
        <f t="shared" si="6"/>
        <v>-5</v>
      </c>
      <c r="BF12" s="20">
        <f t="shared" si="7"/>
        <v>0.375</v>
      </c>
      <c r="BG12" s="20"/>
      <c r="BH12" s="5"/>
    </row>
    <row r="13">
      <c r="A13" s="37" t="s">
        <v>67</v>
      </c>
      <c r="B13" s="28"/>
      <c r="C13" s="29">
        <v>0.0</v>
      </c>
      <c r="D13" s="29"/>
      <c r="E13" s="29">
        <v>0.0</v>
      </c>
      <c r="F13" s="29"/>
      <c r="G13" s="29"/>
      <c r="H13" s="29">
        <v>1.0</v>
      </c>
      <c r="I13" s="29"/>
      <c r="J13" s="29">
        <v>1.0</v>
      </c>
      <c r="K13" s="29">
        <v>0.0</v>
      </c>
      <c r="L13" s="29">
        <v>-4.0</v>
      </c>
      <c r="M13" s="29">
        <v>2.0</v>
      </c>
      <c r="N13" s="30">
        <v>-2.0</v>
      </c>
      <c r="O13" s="29"/>
      <c r="P13" s="29"/>
      <c r="Q13" s="29">
        <v>4.0</v>
      </c>
      <c r="R13" s="29">
        <v>3.0</v>
      </c>
      <c r="S13" s="28"/>
      <c r="T13" s="29">
        <v>0.0</v>
      </c>
      <c r="U13" s="29">
        <v>0.0</v>
      </c>
      <c r="V13" s="29">
        <v>0.0</v>
      </c>
      <c r="W13" s="29">
        <v>0.0</v>
      </c>
      <c r="X13" s="28"/>
      <c r="Y13" s="30">
        <v>-1.0</v>
      </c>
      <c r="Z13" s="31"/>
      <c r="AA13" s="29"/>
      <c r="AB13" s="29">
        <v>-2.0</v>
      </c>
      <c r="AC13" s="29"/>
      <c r="AD13" s="29">
        <v>0.0</v>
      </c>
      <c r="AE13" s="29">
        <v>1.0</v>
      </c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19">
        <v>9.0</v>
      </c>
      <c r="AZ13" s="5">
        <f t="shared" si="1"/>
        <v>18</v>
      </c>
      <c r="BA13" s="5">
        <f t="shared" si="2"/>
        <v>6</v>
      </c>
      <c r="BB13" s="5">
        <f t="shared" si="3"/>
        <v>8</v>
      </c>
      <c r="BC13" s="5">
        <f t="shared" si="4"/>
        <v>4</v>
      </c>
      <c r="BD13" s="5">
        <f t="shared" si="5"/>
        <v>26</v>
      </c>
      <c r="BE13" s="5">
        <f t="shared" si="6"/>
        <v>3</v>
      </c>
      <c r="BF13" s="20">
        <f t="shared" si="7"/>
        <v>0.4814814815</v>
      </c>
      <c r="BG13" s="20"/>
      <c r="BH13" s="5"/>
    </row>
    <row r="14">
      <c r="A14" s="37" t="s">
        <v>68</v>
      </c>
      <c r="B14" s="28"/>
      <c r="C14" s="29">
        <v>0.0</v>
      </c>
      <c r="D14" s="29"/>
      <c r="E14" s="30">
        <v>0.0</v>
      </c>
      <c r="F14" s="29"/>
      <c r="G14" s="29">
        <v>-2.0</v>
      </c>
      <c r="H14" s="29">
        <v>-1.0</v>
      </c>
      <c r="I14" s="29">
        <v>-1.0</v>
      </c>
      <c r="J14" s="29">
        <v>-1.0</v>
      </c>
      <c r="K14" s="29">
        <v>0.0</v>
      </c>
      <c r="L14" s="29"/>
      <c r="M14" s="29">
        <v>2.0</v>
      </c>
      <c r="N14" s="29">
        <v>2.0</v>
      </c>
      <c r="O14" s="29">
        <v>0.0</v>
      </c>
      <c r="P14" s="29">
        <v>-5.0</v>
      </c>
      <c r="Q14" s="29">
        <v>-4.0</v>
      </c>
      <c r="R14" s="29"/>
      <c r="S14" s="28"/>
      <c r="T14" s="30">
        <v>0.0</v>
      </c>
      <c r="U14" s="29">
        <v>0.0</v>
      </c>
      <c r="V14" s="29">
        <v>0.0</v>
      </c>
      <c r="W14" s="29">
        <v>0.0</v>
      </c>
      <c r="X14" s="28"/>
      <c r="Y14" s="29">
        <v>1.0</v>
      </c>
      <c r="Z14" s="31"/>
      <c r="AA14" s="29"/>
      <c r="AB14" s="29">
        <v>2.0</v>
      </c>
      <c r="AC14" s="29">
        <v>-2.0</v>
      </c>
      <c r="AD14" s="29">
        <v>0.0</v>
      </c>
      <c r="AE14" s="29">
        <v>-1.0</v>
      </c>
      <c r="AF14" s="29">
        <v>5.0</v>
      </c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19">
        <v>10.0</v>
      </c>
      <c r="AZ14" s="5">
        <f t="shared" si="1"/>
        <v>22</v>
      </c>
      <c r="BA14" s="5">
        <f t="shared" si="2"/>
        <v>5</v>
      </c>
      <c r="BB14" s="5">
        <f t="shared" si="3"/>
        <v>9</v>
      </c>
      <c r="BC14" s="5">
        <f t="shared" si="4"/>
        <v>8</v>
      </c>
      <c r="BD14" s="5">
        <f t="shared" si="5"/>
        <v>24</v>
      </c>
      <c r="BE14" s="5">
        <f t="shared" si="6"/>
        <v>-5</v>
      </c>
      <c r="BF14" s="20">
        <f t="shared" si="7"/>
        <v>0.3636363636</v>
      </c>
      <c r="BG14" s="20"/>
      <c r="BH14" s="5"/>
    </row>
    <row r="15">
      <c r="A15" s="37" t="s">
        <v>69</v>
      </c>
      <c r="B15" s="28"/>
      <c r="C15" s="30">
        <v>0.0</v>
      </c>
      <c r="D15" s="29"/>
      <c r="E15" s="29"/>
      <c r="F15" s="30">
        <v>2.0</v>
      </c>
      <c r="G15" s="29">
        <v>2.0</v>
      </c>
      <c r="H15" s="29"/>
      <c r="I15" s="29">
        <v>1.0</v>
      </c>
      <c r="J15" s="29"/>
      <c r="K15" s="29">
        <v>0.0</v>
      </c>
      <c r="L15" s="29">
        <v>4.0</v>
      </c>
      <c r="M15" s="29">
        <v>-2.0</v>
      </c>
      <c r="N15" s="29"/>
      <c r="O15" s="29">
        <v>0.0</v>
      </c>
      <c r="P15" s="29"/>
      <c r="Q15" s="29"/>
      <c r="R15" s="29"/>
      <c r="S15" s="28"/>
      <c r="T15" s="29"/>
      <c r="U15" s="29"/>
      <c r="V15" s="29"/>
      <c r="W15" s="29">
        <v>0.0</v>
      </c>
      <c r="X15" s="28"/>
      <c r="Y15" s="29">
        <v>1.0</v>
      </c>
      <c r="Z15" s="31"/>
      <c r="AA15" s="29">
        <v>-3.0</v>
      </c>
      <c r="AB15" s="29">
        <v>-2.0</v>
      </c>
      <c r="AC15" s="29">
        <v>2.0</v>
      </c>
      <c r="AD15" s="29">
        <v>0.0</v>
      </c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19">
        <v>11.0</v>
      </c>
      <c r="AZ15" s="5">
        <f t="shared" si="1"/>
        <v>14</v>
      </c>
      <c r="BA15" s="5">
        <f t="shared" si="2"/>
        <v>6</v>
      </c>
      <c r="BB15" s="5">
        <f t="shared" si="3"/>
        <v>5</v>
      </c>
      <c r="BC15" s="5">
        <f t="shared" si="4"/>
        <v>3</v>
      </c>
      <c r="BD15" s="5">
        <f t="shared" si="5"/>
        <v>23</v>
      </c>
      <c r="BE15" s="5">
        <f t="shared" si="6"/>
        <v>5</v>
      </c>
      <c r="BF15" s="20">
        <f t="shared" si="7"/>
        <v>0.5476190476</v>
      </c>
      <c r="BG15" s="20"/>
      <c r="BH15" s="5"/>
    </row>
    <row r="16">
      <c r="A16" s="37" t="s">
        <v>70</v>
      </c>
      <c r="B16" s="28"/>
      <c r="C16" s="29"/>
      <c r="D16" s="29"/>
      <c r="E16" s="29">
        <v>0.0</v>
      </c>
      <c r="F16" s="29"/>
      <c r="G16" s="29"/>
      <c r="H16" s="29">
        <v>-1.0</v>
      </c>
      <c r="I16" s="29">
        <v>-1.0</v>
      </c>
      <c r="J16" s="30">
        <v>-1.0</v>
      </c>
      <c r="K16" s="29">
        <v>0.0</v>
      </c>
      <c r="L16" s="29">
        <v>4.0</v>
      </c>
      <c r="M16" s="29">
        <v>2.0</v>
      </c>
      <c r="N16" s="29"/>
      <c r="O16" s="29">
        <v>0.0</v>
      </c>
      <c r="P16" s="29"/>
      <c r="Q16" s="30">
        <v>-4.0</v>
      </c>
      <c r="R16" s="29">
        <v>3.0</v>
      </c>
      <c r="S16" s="28"/>
      <c r="T16" s="29">
        <v>0.0</v>
      </c>
      <c r="U16" s="29"/>
      <c r="V16" s="29">
        <v>0.0</v>
      </c>
      <c r="W16" s="29">
        <v>0.0</v>
      </c>
      <c r="X16" s="28"/>
      <c r="Y16" s="29">
        <v>1.0</v>
      </c>
      <c r="Z16" s="31"/>
      <c r="AA16" s="29"/>
      <c r="AB16" s="29">
        <v>-2.0</v>
      </c>
      <c r="AC16" s="29">
        <v>-2.0</v>
      </c>
      <c r="AD16" s="29"/>
      <c r="AE16" s="29">
        <v>1.0</v>
      </c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19">
        <v>12.0</v>
      </c>
      <c r="AZ16" s="5">
        <f t="shared" si="1"/>
        <v>17</v>
      </c>
      <c r="BA16" s="5">
        <f t="shared" si="2"/>
        <v>5</v>
      </c>
      <c r="BB16" s="5">
        <f t="shared" si="3"/>
        <v>6</v>
      </c>
      <c r="BC16" s="5">
        <f t="shared" si="4"/>
        <v>6</v>
      </c>
      <c r="BD16" s="5">
        <f t="shared" si="5"/>
        <v>21</v>
      </c>
      <c r="BE16" s="5">
        <f t="shared" si="6"/>
        <v>0</v>
      </c>
      <c r="BF16" s="20">
        <f t="shared" si="7"/>
        <v>0.4117647059</v>
      </c>
      <c r="BG16" s="20"/>
      <c r="BH16" s="5"/>
    </row>
    <row r="17">
      <c r="A17" s="37" t="s">
        <v>71</v>
      </c>
      <c r="B17" s="28"/>
      <c r="C17" s="29">
        <v>0.0</v>
      </c>
      <c r="D17" s="29"/>
      <c r="E17" s="29"/>
      <c r="F17" s="29">
        <v>2.0</v>
      </c>
      <c r="G17" s="29"/>
      <c r="H17" s="30">
        <v>-1.0</v>
      </c>
      <c r="I17" s="29">
        <v>1.0</v>
      </c>
      <c r="J17" s="29"/>
      <c r="K17" s="29"/>
      <c r="L17" s="29">
        <v>4.0</v>
      </c>
      <c r="M17" s="29"/>
      <c r="N17" s="29">
        <v>2.0</v>
      </c>
      <c r="O17" s="29">
        <v>0.0</v>
      </c>
      <c r="P17" s="29"/>
      <c r="Q17" s="29"/>
      <c r="R17" s="29"/>
      <c r="S17" s="28"/>
      <c r="T17" s="29"/>
      <c r="U17" s="29"/>
      <c r="V17" s="29">
        <v>0.0</v>
      </c>
      <c r="W17" s="29">
        <v>0.0</v>
      </c>
      <c r="X17" s="28"/>
      <c r="Y17" s="29"/>
      <c r="Z17" s="31"/>
      <c r="AA17" s="29"/>
      <c r="AB17" s="29">
        <v>2.0</v>
      </c>
      <c r="AC17" s="29"/>
      <c r="AD17" s="30">
        <v>0.0</v>
      </c>
      <c r="AE17" s="29">
        <v>-1.0</v>
      </c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19">
        <v>13.0</v>
      </c>
      <c r="AZ17" s="5">
        <f t="shared" si="1"/>
        <v>12</v>
      </c>
      <c r="BA17" s="5">
        <f t="shared" si="2"/>
        <v>5</v>
      </c>
      <c r="BB17" s="5">
        <f t="shared" si="3"/>
        <v>5</v>
      </c>
      <c r="BC17" s="5">
        <f t="shared" si="4"/>
        <v>2</v>
      </c>
      <c r="BD17" s="5">
        <f t="shared" si="5"/>
        <v>20</v>
      </c>
      <c r="BE17" s="5">
        <f t="shared" si="6"/>
        <v>9</v>
      </c>
      <c r="BF17" s="20">
        <f t="shared" si="7"/>
        <v>0.5555555556</v>
      </c>
      <c r="BG17" s="20"/>
      <c r="BH17" s="5"/>
    </row>
    <row r="18">
      <c r="A18" s="37" t="s">
        <v>72</v>
      </c>
      <c r="B18" s="28"/>
      <c r="C18" s="29">
        <v>0.0</v>
      </c>
      <c r="D18" s="29">
        <v>-2.0</v>
      </c>
      <c r="E18" s="29">
        <v>0.0</v>
      </c>
      <c r="F18" s="29">
        <v>-2.0</v>
      </c>
      <c r="G18" s="29">
        <v>2.0</v>
      </c>
      <c r="H18" s="29">
        <v>1.0</v>
      </c>
      <c r="I18" s="30">
        <v>-1.0</v>
      </c>
      <c r="J18" s="29"/>
      <c r="K18" s="29">
        <v>0.0</v>
      </c>
      <c r="L18" s="29">
        <v>-4.0</v>
      </c>
      <c r="M18" s="29">
        <v>-2.0</v>
      </c>
      <c r="N18" s="29"/>
      <c r="O18" s="29">
        <v>0.0</v>
      </c>
      <c r="P18" s="29"/>
      <c r="Q18" s="29">
        <v>-4.0</v>
      </c>
      <c r="R18" s="29"/>
      <c r="S18" s="28"/>
      <c r="T18" s="29"/>
      <c r="U18" s="29"/>
      <c r="V18" s="29">
        <v>0.0</v>
      </c>
      <c r="W18" s="30">
        <v>0.0</v>
      </c>
      <c r="X18" s="28"/>
      <c r="Y18" s="29"/>
      <c r="Z18" s="31"/>
      <c r="AA18" s="29">
        <v>3.0</v>
      </c>
      <c r="AB18" s="29">
        <v>2.0</v>
      </c>
      <c r="AC18" s="29"/>
      <c r="AD18" s="29">
        <v>0.0</v>
      </c>
      <c r="AE18" s="29">
        <v>-1.0</v>
      </c>
      <c r="AF18" s="29">
        <v>-5.0</v>
      </c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19">
        <v>14.0</v>
      </c>
      <c r="AZ18" s="5">
        <f t="shared" si="1"/>
        <v>19</v>
      </c>
      <c r="BA18" s="5">
        <f t="shared" si="2"/>
        <v>4</v>
      </c>
      <c r="BB18" s="5">
        <f t="shared" si="3"/>
        <v>7</v>
      </c>
      <c r="BC18" s="5">
        <f t="shared" si="4"/>
        <v>8</v>
      </c>
      <c r="BD18" s="5">
        <f t="shared" si="5"/>
        <v>19</v>
      </c>
      <c r="BE18" s="5">
        <f t="shared" si="6"/>
        <v>-13</v>
      </c>
      <c r="BF18" s="20">
        <f t="shared" si="7"/>
        <v>0.3333333333</v>
      </c>
      <c r="BG18" s="20"/>
      <c r="BH18" s="5"/>
    </row>
    <row r="19">
      <c r="A19" s="37" t="s">
        <v>73</v>
      </c>
      <c r="B19" s="28"/>
      <c r="C19" s="29"/>
      <c r="D19" s="29"/>
      <c r="E19" s="29"/>
      <c r="F19" s="29"/>
      <c r="G19" s="29"/>
      <c r="H19" s="29"/>
      <c r="I19" s="29"/>
      <c r="J19" s="29">
        <v>-1.0</v>
      </c>
      <c r="K19" s="29"/>
      <c r="L19" s="29"/>
      <c r="M19" s="29">
        <v>2.0</v>
      </c>
      <c r="N19" s="29"/>
      <c r="O19" s="29"/>
      <c r="P19" s="30">
        <v>5.0</v>
      </c>
      <c r="Q19" s="29">
        <v>4.0</v>
      </c>
      <c r="R19" s="29"/>
      <c r="S19" s="28"/>
      <c r="T19" s="29"/>
      <c r="U19" s="29"/>
      <c r="V19" s="29">
        <v>0.0</v>
      </c>
      <c r="W19" s="29">
        <v>0.0</v>
      </c>
      <c r="X19" s="28"/>
      <c r="Y19" s="29"/>
      <c r="Z19" s="31"/>
      <c r="AA19" s="29">
        <v>3.0</v>
      </c>
      <c r="AB19" s="29">
        <v>-2.0</v>
      </c>
      <c r="AC19" s="29">
        <v>2.0</v>
      </c>
      <c r="AD19" s="29">
        <v>0.0</v>
      </c>
      <c r="AE19" s="29">
        <v>-1.0</v>
      </c>
      <c r="AF19" s="30">
        <v>-5.0</v>
      </c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19">
        <v>15.0</v>
      </c>
      <c r="AZ19" s="5">
        <f t="shared" si="1"/>
        <v>12</v>
      </c>
      <c r="BA19" s="5">
        <f t="shared" si="2"/>
        <v>5</v>
      </c>
      <c r="BB19" s="5">
        <f t="shared" si="3"/>
        <v>3</v>
      </c>
      <c r="BC19" s="5">
        <f t="shared" si="4"/>
        <v>4</v>
      </c>
      <c r="BD19" s="5">
        <f t="shared" si="5"/>
        <v>18</v>
      </c>
      <c r="BE19" s="5">
        <f t="shared" si="6"/>
        <v>7</v>
      </c>
      <c r="BF19" s="20">
        <f t="shared" si="7"/>
        <v>0.5</v>
      </c>
      <c r="BG19" s="20"/>
      <c r="BH19" s="5"/>
    </row>
    <row r="20">
      <c r="A20" s="37" t="s">
        <v>74</v>
      </c>
      <c r="B20" s="28"/>
      <c r="C20" s="29"/>
      <c r="D20" s="29">
        <v>-2.0</v>
      </c>
      <c r="E20" s="29">
        <v>0.0</v>
      </c>
      <c r="F20" s="29">
        <v>2.0</v>
      </c>
      <c r="G20" s="29"/>
      <c r="H20" s="29">
        <v>1.0</v>
      </c>
      <c r="I20" s="30">
        <v>1.0</v>
      </c>
      <c r="J20" s="29">
        <v>1.0</v>
      </c>
      <c r="K20" s="29">
        <v>0.0</v>
      </c>
      <c r="L20" s="29">
        <v>4.0</v>
      </c>
      <c r="M20" s="29">
        <v>-2.0</v>
      </c>
      <c r="N20" s="29">
        <v>-2.0</v>
      </c>
      <c r="O20" s="29"/>
      <c r="P20" s="29"/>
      <c r="Q20" s="29"/>
      <c r="R20" s="29"/>
      <c r="S20" s="28"/>
      <c r="T20" s="29"/>
      <c r="U20" s="29"/>
      <c r="V20" s="29"/>
      <c r="W20" s="29"/>
      <c r="X20" s="28"/>
      <c r="Y20" s="29"/>
      <c r="Z20" s="31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19">
        <v>16.0</v>
      </c>
      <c r="AZ20" s="5">
        <f t="shared" si="1"/>
        <v>10</v>
      </c>
      <c r="BA20" s="5">
        <f t="shared" si="2"/>
        <v>5</v>
      </c>
      <c r="BB20" s="5">
        <f t="shared" si="3"/>
        <v>2</v>
      </c>
      <c r="BC20" s="5">
        <f t="shared" si="4"/>
        <v>3</v>
      </c>
      <c r="BD20" s="5">
        <f t="shared" si="5"/>
        <v>17</v>
      </c>
      <c r="BE20" s="5">
        <f t="shared" si="6"/>
        <v>3</v>
      </c>
      <c r="BF20" s="20">
        <f t="shared" si="7"/>
        <v>0.5666666667</v>
      </c>
      <c r="BG20" s="20"/>
      <c r="BH20" s="5"/>
    </row>
    <row r="21" ht="15.75" customHeight="1">
      <c r="A21" s="37" t="s">
        <v>75</v>
      </c>
      <c r="B21" s="28"/>
      <c r="C21" s="29"/>
      <c r="D21" s="29"/>
      <c r="E21" s="29"/>
      <c r="F21" s="29"/>
      <c r="G21" s="29"/>
      <c r="H21" s="29"/>
      <c r="I21" s="29"/>
      <c r="J21" s="29">
        <v>-1.0</v>
      </c>
      <c r="K21" s="30">
        <v>0.0</v>
      </c>
      <c r="L21" s="29"/>
      <c r="M21" s="29">
        <v>2.0</v>
      </c>
      <c r="N21" s="29">
        <v>2.0</v>
      </c>
      <c r="O21" s="29">
        <v>0.0</v>
      </c>
      <c r="P21" s="29"/>
      <c r="Q21" s="29"/>
      <c r="R21" s="29">
        <v>-3.0</v>
      </c>
      <c r="S21" s="28"/>
      <c r="T21" s="29">
        <v>0.0</v>
      </c>
      <c r="U21" s="29">
        <v>0.0</v>
      </c>
      <c r="V21" s="29">
        <v>0.0</v>
      </c>
      <c r="W21" s="29"/>
      <c r="X21" s="28"/>
      <c r="Y21" s="29">
        <v>1.0</v>
      </c>
      <c r="Z21" s="31"/>
      <c r="AA21" s="29"/>
      <c r="AB21" s="29">
        <v>-2.0</v>
      </c>
      <c r="AC21" s="29"/>
      <c r="AD21" s="29"/>
      <c r="AE21" s="29">
        <v>-1.0</v>
      </c>
      <c r="AF21" s="30">
        <v>5.0</v>
      </c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19">
        <v>17.0</v>
      </c>
      <c r="AZ21" s="5">
        <f t="shared" si="1"/>
        <v>13</v>
      </c>
      <c r="BA21" s="5">
        <f t="shared" si="2"/>
        <v>4</v>
      </c>
      <c r="BB21" s="5">
        <f t="shared" si="3"/>
        <v>5</v>
      </c>
      <c r="BC21" s="5">
        <f t="shared" si="4"/>
        <v>4</v>
      </c>
      <c r="BD21" s="5">
        <f t="shared" si="5"/>
        <v>17</v>
      </c>
      <c r="BE21" s="5">
        <f t="shared" si="6"/>
        <v>3</v>
      </c>
      <c r="BF21" s="20">
        <f t="shared" si="7"/>
        <v>0.4358974359</v>
      </c>
      <c r="BG21" s="20"/>
      <c r="BH21" s="5"/>
    </row>
    <row r="22" ht="15.75" customHeight="1">
      <c r="A22" s="37" t="s">
        <v>76</v>
      </c>
      <c r="B22" s="28"/>
      <c r="C22" s="29">
        <v>0.0</v>
      </c>
      <c r="D22" s="29"/>
      <c r="E22" s="29">
        <v>0.0</v>
      </c>
      <c r="F22" s="29"/>
      <c r="G22" s="29"/>
      <c r="H22" s="29"/>
      <c r="I22" s="29">
        <v>1.0</v>
      </c>
      <c r="J22" s="29"/>
      <c r="K22" s="29"/>
      <c r="L22" s="30">
        <v>-4.0</v>
      </c>
      <c r="M22" s="29"/>
      <c r="N22" s="29"/>
      <c r="O22" s="29">
        <v>0.0</v>
      </c>
      <c r="P22" s="29"/>
      <c r="Q22" s="29">
        <v>-4.0</v>
      </c>
      <c r="R22" s="29"/>
      <c r="S22" s="28"/>
      <c r="T22" s="29">
        <v>0.0</v>
      </c>
      <c r="U22" s="29">
        <v>0.0</v>
      </c>
      <c r="V22" s="29">
        <v>0.0</v>
      </c>
      <c r="W22" s="29">
        <v>0.0</v>
      </c>
      <c r="X22" s="28"/>
      <c r="Y22" s="29">
        <v>-1.0</v>
      </c>
      <c r="Z22" s="31"/>
      <c r="AA22" s="29">
        <v>3.0</v>
      </c>
      <c r="AB22" s="30">
        <v>-2.0</v>
      </c>
      <c r="AC22" s="29">
        <v>-2.0</v>
      </c>
      <c r="AD22" s="29">
        <v>0.0</v>
      </c>
      <c r="AE22" s="29">
        <v>1.0</v>
      </c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9">
        <v>18.0</v>
      </c>
      <c r="AZ22" s="5">
        <f t="shared" si="1"/>
        <v>16</v>
      </c>
      <c r="BA22" s="5">
        <f t="shared" si="2"/>
        <v>3</v>
      </c>
      <c r="BB22" s="5">
        <f t="shared" si="3"/>
        <v>8</v>
      </c>
      <c r="BC22" s="5">
        <f t="shared" si="4"/>
        <v>5</v>
      </c>
      <c r="BD22" s="5">
        <f t="shared" si="5"/>
        <v>17</v>
      </c>
      <c r="BE22" s="5">
        <f t="shared" si="6"/>
        <v>-8</v>
      </c>
      <c r="BF22" s="20">
        <f t="shared" si="7"/>
        <v>0.3541666667</v>
      </c>
      <c r="BG22" s="20"/>
      <c r="BH22" s="5"/>
    </row>
    <row r="23" ht="15.75" customHeight="1">
      <c r="A23" s="37" t="s">
        <v>77</v>
      </c>
      <c r="B23" s="28"/>
      <c r="C23" s="29">
        <v>0.0</v>
      </c>
      <c r="D23" s="29">
        <v>2.0</v>
      </c>
      <c r="E23" s="29">
        <v>0.0</v>
      </c>
      <c r="F23" s="29">
        <v>-2.0</v>
      </c>
      <c r="G23" s="29">
        <v>-2.0</v>
      </c>
      <c r="H23" s="30">
        <v>1.0</v>
      </c>
      <c r="I23" s="29">
        <v>-1.0</v>
      </c>
      <c r="J23" s="29"/>
      <c r="K23" s="29">
        <v>0.0</v>
      </c>
      <c r="L23" s="29">
        <v>-4.0</v>
      </c>
      <c r="M23" s="29">
        <v>-2.0</v>
      </c>
      <c r="N23" s="29">
        <v>-2.0</v>
      </c>
      <c r="O23" s="29">
        <v>0.0</v>
      </c>
      <c r="P23" s="29"/>
      <c r="Q23" s="29">
        <v>-4.0</v>
      </c>
      <c r="R23" s="29"/>
      <c r="S23" s="28"/>
      <c r="T23" s="30">
        <v>0.0</v>
      </c>
      <c r="U23" s="29"/>
      <c r="V23" s="29"/>
      <c r="W23" s="29">
        <v>0.0</v>
      </c>
      <c r="X23" s="28"/>
      <c r="Y23" s="29">
        <v>-1.0</v>
      </c>
      <c r="Z23" s="31"/>
      <c r="AA23" s="29"/>
      <c r="AB23" s="29">
        <v>0.0</v>
      </c>
      <c r="AC23" s="29"/>
      <c r="AD23" s="29">
        <v>0.0</v>
      </c>
      <c r="AE23" s="29"/>
      <c r="AF23" s="29">
        <v>5.0</v>
      </c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19">
        <v>19.0</v>
      </c>
      <c r="AZ23" s="5">
        <f t="shared" si="1"/>
        <v>19</v>
      </c>
      <c r="BA23" s="5">
        <f t="shared" si="2"/>
        <v>3</v>
      </c>
      <c r="BB23" s="5">
        <f t="shared" si="3"/>
        <v>8</v>
      </c>
      <c r="BC23" s="5">
        <f t="shared" si="4"/>
        <v>8</v>
      </c>
      <c r="BD23" s="5">
        <f t="shared" si="5"/>
        <v>17</v>
      </c>
      <c r="BE23" s="5">
        <f t="shared" si="6"/>
        <v>-10</v>
      </c>
      <c r="BF23" s="20">
        <f t="shared" si="7"/>
        <v>0.298245614</v>
      </c>
      <c r="BG23" s="20"/>
      <c r="BH23" s="5"/>
    </row>
    <row r="24" ht="15.75" customHeight="1">
      <c r="A24" s="37" t="s">
        <v>78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8"/>
      <c r="T24" s="29"/>
      <c r="U24" s="29"/>
      <c r="V24" s="29"/>
      <c r="W24" s="29"/>
      <c r="X24" s="28"/>
      <c r="Y24" s="29"/>
      <c r="Z24" s="31"/>
      <c r="AA24" s="29"/>
      <c r="AB24" s="29"/>
      <c r="AC24" s="29">
        <v>2.0</v>
      </c>
      <c r="AD24" s="29">
        <v>0.0</v>
      </c>
      <c r="AE24" s="29">
        <v>1.0</v>
      </c>
      <c r="AF24" s="29">
        <v>5.0</v>
      </c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19">
        <v>20.0</v>
      </c>
      <c r="AZ24" s="5">
        <f t="shared" si="1"/>
        <v>4</v>
      </c>
      <c r="BA24" s="5">
        <f t="shared" si="2"/>
        <v>3</v>
      </c>
      <c r="BB24" s="5">
        <f t="shared" si="3"/>
        <v>1</v>
      </c>
      <c r="BC24" s="5">
        <f t="shared" si="4"/>
        <v>0</v>
      </c>
      <c r="BD24" s="5">
        <f t="shared" si="5"/>
        <v>10</v>
      </c>
      <c r="BE24" s="5">
        <f t="shared" si="6"/>
        <v>8</v>
      </c>
      <c r="BF24" s="20">
        <f t="shared" si="7"/>
        <v>0.8333333333</v>
      </c>
      <c r="BG24" s="20"/>
      <c r="BH24" s="5"/>
    </row>
    <row r="25" ht="15.75" customHeight="1">
      <c r="A25" s="37" t="s">
        <v>79</v>
      </c>
      <c r="B25" s="28"/>
      <c r="C25" s="29"/>
      <c r="D25" s="29">
        <v>-2.0</v>
      </c>
      <c r="E25" s="29">
        <v>0.0</v>
      </c>
      <c r="F25" s="29"/>
      <c r="G25" s="29"/>
      <c r="H25" s="29"/>
      <c r="I25" s="29">
        <v>1.0</v>
      </c>
      <c r="J25" s="29">
        <v>1.0</v>
      </c>
      <c r="K25" s="29"/>
      <c r="L25" s="29"/>
      <c r="M25" s="29"/>
      <c r="N25" s="29"/>
      <c r="O25" s="29"/>
      <c r="P25" s="30">
        <v>-5.0</v>
      </c>
      <c r="Q25" s="29">
        <v>-4.0</v>
      </c>
      <c r="R25" s="29">
        <v>-3.0</v>
      </c>
      <c r="S25" s="28"/>
      <c r="T25" s="29"/>
      <c r="U25" s="29"/>
      <c r="V25" s="29"/>
      <c r="W25" s="29"/>
      <c r="X25" s="28"/>
      <c r="Y25" s="29"/>
      <c r="Z25" s="31"/>
      <c r="AA25" s="29"/>
      <c r="AB25" s="29"/>
      <c r="AC25" s="30">
        <v>2.0</v>
      </c>
      <c r="AD25" s="29"/>
      <c r="AE25" s="29">
        <v>-1.0</v>
      </c>
      <c r="AF25" s="29">
        <v>-5.0</v>
      </c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19">
        <v>21.0</v>
      </c>
      <c r="AZ25" s="5">
        <f t="shared" si="1"/>
        <v>10</v>
      </c>
      <c r="BA25" s="5">
        <f t="shared" si="2"/>
        <v>3</v>
      </c>
      <c r="BB25" s="5">
        <f t="shared" si="3"/>
        <v>1</v>
      </c>
      <c r="BC25" s="5">
        <f t="shared" si="4"/>
        <v>6</v>
      </c>
      <c r="BD25" s="5">
        <f t="shared" si="5"/>
        <v>10</v>
      </c>
      <c r="BE25" s="5">
        <f t="shared" si="6"/>
        <v>-16</v>
      </c>
      <c r="BF25" s="20">
        <f t="shared" si="7"/>
        <v>0.3333333333</v>
      </c>
      <c r="BG25" s="20"/>
      <c r="BH25" s="5"/>
    </row>
    <row r="26" ht="15.75" customHeight="1">
      <c r="A26" s="37" t="s">
        <v>80</v>
      </c>
      <c r="B26" s="28"/>
      <c r="C26" s="29">
        <v>0.0</v>
      </c>
      <c r="D26" s="29"/>
      <c r="E26" s="30">
        <v>0.0</v>
      </c>
      <c r="F26" s="29"/>
      <c r="G26" s="29">
        <v>-2.0</v>
      </c>
      <c r="H26" s="29"/>
      <c r="I26" s="29"/>
      <c r="J26" s="29"/>
      <c r="K26" s="29">
        <v>0.0</v>
      </c>
      <c r="L26" s="29"/>
      <c r="M26" s="29"/>
      <c r="N26" s="29"/>
      <c r="O26" s="29"/>
      <c r="P26" s="29">
        <v>-5.0</v>
      </c>
      <c r="Q26" s="29"/>
      <c r="R26" s="29"/>
      <c r="S26" s="28"/>
      <c r="T26" s="29"/>
      <c r="U26" s="29"/>
      <c r="V26" s="29"/>
      <c r="W26" s="29"/>
      <c r="X26" s="28"/>
      <c r="Y26" s="29"/>
      <c r="Z26" s="31"/>
      <c r="AA26" s="29"/>
      <c r="AB26" s="29"/>
      <c r="AC26" s="29">
        <v>-2.0</v>
      </c>
      <c r="AD26" s="29"/>
      <c r="AE26" s="29">
        <v>1.0</v>
      </c>
      <c r="AF26" s="29">
        <v>5.0</v>
      </c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19">
        <v>22.0</v>
      </c>
      <c r="AZ26" s="5">
        <f t="shared" si="1"/>
        <v>8</v>
      </c>
      <c r="BA26" s="5">
        <f t="shared" si="2"/>
        <v>2</v>
      </c>
      <c r="BB26" s="5">
        <f t="shared" si="3"/>
        <v>3</v>
      </c>
      <c r="BC26" s="5">
        <f t="shared" si="4"/>
        <v>3</v>
      </c>
      <c r="BD26" s="5">
        <f t="shared" si="5"/>
        <v>9</v>
      </c>
      <c r="BE26" s="5">
        <f t="shared" si="6"/>
        <v>-3</v>
      </c>
      <c r="BF26" s="20">
        <f t="shared" si="7"/>
        <v>0.375</v>
      </c>
      <c r="BG26" s="20"/>
      <c r="BH26" s="5"/>
    </row>
    <row r="27" ht="15.75" customHeight="1">
      <c r="A27" s="37" t="s">
        <v>81</v>
      </c>
      <c r="B27" s="28"/>
      <c r="C27" s="29"/>
      <c r="D27" s="29"/>
      <c r="E27" s="29"/>
      <c r="F27" s="29"/>
      <c r="G27" s="29"/>
      <c r="H27" s="29"/>
      <c r="I27" s="29">
        <v>-1.0</v>
      </c>
      <c r="J27" s="29"/>
      <c r="K27" s="29">
        <v>0.0</v>
      </c>
      <c r="L27" s="29"/>
      <c r="M27" s="29">
        <v>2.0</v>
      </c>
      <c r="N27" s="29">
        <v>-2.0</v>
      </c>
      <c r="O27" s="29"/>
      <c r="P27" s="29"/>
      <c r="Q27" s="29"/>
      <c r="R27" s="29"/>
      <c r="S27" s="28"/>
      <c r="T27" s="29"/>
      <c r="U27" s="29"/>
      <c r="V27" s="29"/>
      <c r="W27" s="29"/>
      <c r="X27" s="28"/>
      <c r="Y27" s="29">
        <v>-1.0</v>
      </c>
      <c r="Z27" s="31"/>
      <c r="AA27" s="29">
        <v>3.0</v>
      </c>
      <c r="AB27" s="29"/>
      <c r="AC27" s="29">
        <v>0.0</v>
      </c>
      <c r="AD27" s="29">
        <v>0.0</v>
      </c>
      <c r="AE27" s="29"/>
      <c r="AF27" s="29">
        <v>-5.0</v>
      </c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19">
        <v>23.0</v>
      </c>
      <c r="AZ27" s="5">
        <f t="shared" si="1"/>
        <v>9</v>
      </c>
      <c r="BA27" s="5">
        <f t="shared" si="2"/>
        <v>2</v>
      </c>
      <c r="BB27" s="5">
        <f t="shared" si="3"/>
        <v>3</v>
      </c>
      <c r="BC27" s="5">
        <f t="shared" si="4"/>
        <v>4</v>
      </c>
      <c r="BD27" s="5">
        <f t="shared" si="5"/>
        <v>9</v>
      </c>
      <c r="BE27" s="5">
        <f t="shared" si="6"/>
        <v>-4</v>
      </c>
      <c r="BF27" s="20">
        <f t="shared" si="7"/>
        <v>0.3333333333</v>
      </c>
      <c r="BG27" s="20"/>
      <c r="BH27" s="5"/>
    </row>
    <row r="28" ht="15.75" customHeight="1">
      <c r="A28" s="37" t="s">
        <v>82</v>
      </c>
      <c r="B28" s="28"/>
      <c r="C28" s="29">
        <v>0.0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>
        <v>2.0</v>
      </c>
      <c r="O28" s="29">
        <v>0.0</v>
      </c>
      <c r="P28" s="29">
        <v>5.0</v>
      </c>
      <c r="Q28" s="29"/>
      <c r="R28" s="29">
        <v>-3.0</v>
      </c>
      <c r="S28" s="28"/>
      <c r="T28" s="29"/>
      <c r="U28" s="29"/>
      <c r="V28" s="29"/>
      <c r="W28" s="29"/>
      <c r="X28" s="28"/>
      <c r="Y28" s="29"/>
      <c r="Z28" s="31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19">
        <v>24.0</v>
      </c>
      <c r="AZ28" s="5">
        <f t="shared" si="1"/>
        <v>5</v>
      </c>
      <c r="BA28" s="5">
        <f t="shared" si="2"/>
        <v>2</v>
      </c>
      <c r="BB28" s="5">
        <f t="shared" si="3"/>
        <v>2</v>
      </c>
      <c r="BC28" s="5">
        <f t="shared" si="4"/>
        <v>1</v>
      </c>
      <c r="BD28" s="5">
        <f t="shared" si="5"/>
        <v>8</v>
      </c>
      <c r="BE28" s="5">
        <f t="shared" si="6"/>
        <v>4</v>
      </c>
      <c r="BF28" s="20">
        <f t="shared" si="7"/>
        <v>0.5333333333</v>
      </c>
      <c r="BG28" s="20"/>
      <c r="BH28" s="5"/>
    </row>
    <row r="29" ht="15.75" customHeight="1">
      <c r="A29" s="37" t="s">
        <v>83</v>
      </c>
      <c r="B29" s="28"/>
      <c r="C29" s="30">
        <v>0.0</v>
      </c>
      <c r="D29" s="29"/>
      <c r="E29" s="29"/>
      <c r="F29" s="29">
        <v>-2.0</v>
      </c>
      <c r="G29" s="29"/>
      <c r="H29" s="29">
        <v>-1.0</v>
      </c>
      <c r="I29" s="29">
        <v>-1.0</v>
      </c>
      <c r="J29" s="29">
        <v>-1.0</v>
      </c>
      <c r="K29" s="29">
        <v>0.0</v>
      </c>
      <c r="L29" s="29">
        <v>-4.0</v>
      </c>
      <c r="M29" s="29"/>
      <c r="N29" s="29"/>
      <c r="O29" s="29"/>
      <c r="P29" s="29">
        <v>-5.0</v>
      </c>
      <c r="Q29" s="30">
        <v>4.0</v>
      </c>
      <c r="R29" s="29">
        <v>-3.0</v>
      </c>
      <c r="S29" s="28"/>
      <c r="T29" s="29"/>
      <c r="U29" s="29"/>
      <c r="V29" s="29">
        <v>0.0</v>
      </c>
      <c r="W29" s="29">
        <v>0.0</v>
      </c>
      <c r="X29" s="28"/>
      <c r="Y29" s="29">
        <v>-1.0</v>
      </c>
      <c r="Z29" s="31"/>
      <c r="AA29" s="29"/>
      <c r="AB29" s="29">
        <v>-2.0</v>
      </c>
      <c r="AC29" s="30">
        <v>-2.0</v>
      </c>
      <c r="AD29" s="29">
        <v>0.0</v>
      </c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19">
        <v>25.0</v>
      </c>
      <c r="AZ29" s="5">
        <f t="shared" si="1"/>
        <v>16</v>
      </c>
      <c r="BA29" s="5">
        <f t="shared" si="2"/>
        <v>1</v>
      </c>
      <c r="BB29" s="5">
        <f t="shared" si="3"/>
        <v>5</v>
      </c>
      <c r="BC29" s="5">
        <f t="shared" si="4"/>
        <v>10</v>
      </c>
      <c r="BD29" s="5">
        <f t="shared" si="5"/>
        <v>8</v>
      </c>
      <c r="BE29" s="5">
        <f t="shared" si="6"/>
        <v>-18</v>
      </c>
      <c r="BF29" s="20">
        <f t="shared" si="7"/>
        <v>0.1666666667</v>
      </c>
      <c r="BG29" s="20"/>
      <c r="BH29" s="5"/>
    </row>
    <row r="30" ht="15.75" customHeight="1">
      <c r="A30" s="37" t="s">
        <v>84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8"/>
      <c r="T30" s="29"/>
      <c r="U30" s="29"/>
      <c r="V30" s="29"/>
      <c r="W30" s="29"/>
      <c r="X30" s="28"/>
      <c r="Y30" s="29"/>
      <c r="Z30" s="31"/>
      <c r="AA30" s="29"/>
      <c r="AB30" s="29"/>
      <c r="AC30" s="29"/>
      <c r="AD30" s="29">
        <v>0.0</v>
      </c>
      <c r="AE30" s="29">
        <v>1.0</v>
      </c>
      <c r="AF30" s="29">
        <v>5.0</v>
      </c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19">
        <v>26.0</v>
      </c>
      <c r="AZ30" s="5">
        <f t="shared" si="1"/>
        <v>3</v>
      </c>
      <c r="BA30" s="5">
        <f t="shared" si="2"/>
        <v>2</v>
      </c>
      <c r="BB30" s="5">
        <f t="shared" si="3"/>
        <v>1</v>
      </c>
      <c r="BC30" s="5">
        <f t="shared" si="4"/>
        <v>0</v>
      </c>
      <c r="BD30" s="5">
        <f t="shared" si="5"/>
        <v>7</v>
      </c>
      <c r="BE30" s="5">
        <f t="shared" si="6"/>
        <v>6</v>
      </c>
      <c r="BF30" s="20">
        <f t="shared" si="7"/>
        <v>0.7777777778</v>
      </c>
      <c r="BG30" s="20"/>
      <c r="BH30" s="5"/>
    </row>
    <row r="31" ht="15.75" customHeight="1">
      <c r="A31" s="37" t="s">
        <v>85</v>
      </c>
      <c r="B31" s="28"/>
      <c r="C31" s="29"/>
      <c r="D31" s="29"/>
      <c r="E31" s="29"/>
      <c r="F31" s="29"/>
      <c r="G31" s="29"/>
      <c r="H31" s="29"/>
      <c r="I31" s="29">
        <v>1.0</v>
      </c>
      <c r="J31" s="29"/>
      <c r="K31" s="29"/>
      <c r="L31" s="29"/>
      <c r="M31" s="29"/>
      <c r="N31" s="29">
        <v>2.0</v>
      </c>
      <c r="O31" s="29"/>
      <c r="P31" s="29"/>
      <c r="Q31" s="29"/>
      <c r="R31" s="29"/>
      <c r="S31" s="28"/>
      <c r="T31" s="29"/>
      <c r="U31" s="29"/>
      <c r="V31" s="29"/>
      <c r="W31" s="29"/>
      <c r="X31" s="28"/>
      <c r="Y31" s="29">
        <v>-1.0</v>
      </c>
      <c r="Z31" s="31"/>
      <c r="AA31" s="29">
        <v>-3.0</v>
      </c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19">
        <v>27.0</v>
      </c>
      <c r="AZ31" s="5">
        <f t="shared" si="1"/>
        <v>4</v>
      </c>
      <c r="BA31" s="5">
        <f t="shared" si="2"/>
        <v>2</v>
      </c>
      <c r="BB31" s="5">
        <f t="shared" si="3"/>
        <v>0</v>
      </c>
      <c r="BC31" s="5">
        <f t="shared" si="4"/>
        <v>2</v>
      </c>
      <c r="BD31" s="5">
        <f t="shared" si="5"/>
        <v>6</v>
      </c>
      <c r="BE31" s="5">
        <f t="shared" si="6"/>
        <v>-1</v>
      </c>
      <c r="BF31" s="20">
        <f t="shared" si="7"/>
        <v>0.5</v>
      </c>
      <c r="BG31" s="20"/>
      <c r="BH31" s="5"/>
    </row>
    <row r="32" ht="15.75" customHeight="1">
      <c r="A32" s="37" t="s">
        <v>86</v>
      </c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v>3.0</v>
      </c>
      <c r="S32" s="28"/>
      <c r="T32" s="29"/>
      <c r="U32" s="29"/>
      <c r="V32" s="29"/>
      <c r="W32" s="29"/>
      <c r="X32" s="28"/>
      <c r="Y32" s="29"/>
      <c r="Z32" s="31"/>
      <c r="AA32" s="29"/>
      <c r="AB32" s="29"/>
      <c r="AC32" s="29"/>
      <c r="AD32" s="29">
        <v>0.0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19">
        <v>28.0</v>
      </c>
      <c r="AZ32" s="5">
        <f t="shared" si="1"/>
        <v>2</v>
      </c>
      <c r="BA32" s="5">
        <f t="shared" si="2"/>
        <v>1</v>
      </c>
      <c r="BB32" s="5">
        <f t="shared" si="3"/>
        <v>1</v>
      </c>
      <c r="BC32" s="5">
        <f t="shared" si="4"/>
        <v>0</v>
      </c>
      <c r="BD32" s="5">
        <f t="shared" si="5"/>
        <v>4</v>
      </c>
      <c r="BE32" s="5">
        <f t="shared" si="6"/>
        <v>3</v>
      </c>
      <c r="BF32" s="20">
        <f t="shared" si="7"/>
        <v>0.6666666667</v>
      </c>
      <c r="BG32" s="20"/>
      <c r="BH32" s="5"/>
    </row>
    <row r="33" ht="15.75" customHeight="1">
      <c r="A33" s="37" t="s">
        <v>87</v>
      </c>
      <c r="B33" s="28"/>
      <c r="C33" s="29"/>
      <c r="D33" s="29">
        <v>2.0</v>
      </c>
      <c r="E33" s="29">
        <v>0.0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8"/>
      <c r="T33" s="29"/>
      <c r="U33" s="29"/>
      <c r="V33" s="29"/>
      <c r="W33" s="29"/>
      <c r="X33" s="28"/>
      <c r="Y33" s="29"/>
      <c r="Z33" s="31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19">
        <v>29.0</v>
      </c>
      <c r="AZ33" s="5">
        <f t="shared" si="1"/>
        <v>2</v>
      </c>
      <c r="BA33" s="5">
        <f t="shared" si="2"/>
        <v>1</v>
      </c>
      <c r="BB33" s="5">
        <f t="shared" si="3"/>
        <v>1</v>
      </c>
      <c r="BC33" s="5">
        <f t="shared" si="4"/>
        <v>0</v>
      </c>
      <c r="BD33" s="5">
        <f t="shared" si="5"/>
        <v>4</v>
      </c>
      <c r="BE33" s="5">
        <f t="shared" si="6"/>
        <v>2</v>
      </c>
      <c r="BF33" s="20">
        <f t="shared" si="7"/>
        <v>0.6666666667</v>
      </c>
      <c r="BG33" s="20"/>
      <c r="BH33" s="5"/>
    </row>
    <row r="34" ht="15.75" customHeight="1">
      <c r="A34" s="37" t="s">
        <v>88</v>
      </c>
      <c r="B34" s="28"/>
      <c r="C34" s="29"/>
      <c r="D34" s="29"/>
      <c r="E34" s="29"/>
      <c r="F34" s="29"/>
      <c r="G34" s="29">
        <v>-2.0</v>
      </c>
      <c r="H34" s="29"/>
      <c r="I34" s="29"/>
      <c r="J34" s="29"/>
      <c r="K34" s="29"/>
      <c r="L34" s="29"/>
      <c r="M34" s="30">
        <v>2.0</v>
      </c>
      <c r="N34" s="29">
        <v>-2.0</v>
      </c>
      <c r="O34" s="29"/>
      <c r="P34" s="29"/>
      <c r="Q34" s="29"/>
      <c r="R34" s="29"/>
      <c r="S34" s="28"/>
      <c r="T34" s="29"/>
      <c r="U34" s="29"/>
      <c r="V34" s="30">
        <v>0.0</v>
      </c>
      <c r="W34" s="29"/>
      <c r="X34" s="28"/>
      <c r="Y34" s="29"/>
      <c r="Z34" s="31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19">
        <v>30.0</v>
      </c>
      <c r="AZ34" s="5">
        <f t="shared" si="1"/>
        <v>4</v>
      </c>
      <c r="BA34" s="5">
        <f t="shared" si="2"/>
        <v>1</v>
      </c>
      <c r="BB34" s="5">
        <f t="shared" si="3"/>
        <v>1</v>
      </c>
      <c r="BC34" s="5">
        <f t="shared" si="4"/>
        <v>2</v>
      </c>
      <c r="BD34" s="5">
        <f t="shared" si="5"/>
        <v>4</v>
      </c>
      <c r="BE34" s="5">
        <f t="shared" si="6"/>
        <v>-2</v>
      </c>
      <c r="BF34" s="20">
        <f t="shared" si="7"/>
        <v>0.3333333333</v>
      </c>
      <c r="BG34" s="20"/>
      <c r="BH34" s="5"/>
    </row>
    <row r="35" ht="13.5" customHeight="1">
      <c r="A35" s="37" t="s">
        <v>89</v>
      </c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8"/>
      <c r="T35" s="29"/>
      <c r="U35" s="29"/>
      <c r="V35" s="29"/>
      <c r="W35" s="29">
        <v>0.0</v>
      </c>
      <c r="X35" s="28"/>
      <c r="Y35" s="29"/>
      <c r="Z35" s="31"/>
      <c r="AA35" s="29">
        <v>-3.0</v>
      </c>
      <c r="AB35" s="29">
        <v>-2.0</v>
      </c>
      <c r="AC35" s="29">
        <v>-2.0</v>
      </c>
      <c r="AD35" s="29">
        <v>0.0</v>
      </c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19">
        <v>31.0</v>
      </c>
      <c r="AZ35" s="5">
        <f t="shared" si="1"/>
        <v>5</v>
      </c>
      <c r="BA35" s="5">
        <f t="shared" si="2"/>
        <v>0</v>
      </c>
      <c r="BB35" s="5">
        <f t="shared" si="3"/>
        <v>2</v>
      </c>
      <c r="BC35" s="5">
        <f t="shared" si="4"/>
        <v>3</v>
      </c>
      <c r="BD35" s="5">
        <f t="shared" si="5"/>
        <v>2</v>
      </c>
      <c r="BE35" s="5">
        <f t="shared" si="6"/>
        <v>-7</v>
      </c>
      <c r="BF35" s="20">
        <f t="shared" si="7"/>
        <v>0.1333333333</v>
      </c>
      <c r="BG35" s="20"/>
      <c r="BH35" s="5"/>
    </row>
    <row r="36" ht="13.5" customHeight="1">
      <c r="A36" s="37" t="s">
        <v>90</v>
      </c>
      <c r="B36" s="28"/>
      <c r="C36" s="29">
        <v>0.0</v>
      </c>
      <c r="D36" s="29">
        <v>-2.0</v>
      </c>
      <c r="E36" s="29">
        <v>0.0</v>
      </c>
      <c r="F36" s="29">
        <v>-2.0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8"/>
      <c r="T36" s="29"/>
      <c r="U36" s="29"/>
      <c r="V36" s="29"/>
      <c r="W36" s="29"/>
      <c r="X36" s="28"/>
      <c r="Y36" s="29"/>
      <c r="Z36" s="31"/>
      <c r="AA36" s="29"/>
      <c r="AB36" s="29"/>
      <c r="AC36" s="29"/>
      <c r="AD36" s="29"/>
      <c r="AE36" s="29">
        <v>-1.0</v>
      </c>
      <c r="AF36" s="29">
        <v>-5.0</v>
      </c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19">
        <v>32.0</v>
      </c>
      <c r="AZ36" s="5">
        <f t="shared" si="1"/>
        <v>6</v>
      </c>
      <c r="BA36" s="5">
        <f t="shared" si="2"/>
        <v>0</v>
      </c>
      <c r="BB36" s="5">
        <f t="shared" si="3"/>
        <v>2</v>
      </c>
      <c r="BC36" s="5">
        <f t="shared" si="4"/>
        <v>4</v>
      </c>
      <c r="BD36" s="5">
        <f t="shared" si="5"/>
        <v>2</v>
      </c>
      <c r="BE36" s="5">
        <f t="shared" si="6"/>
        <v>-10</v>
      </c>
      <c r="BF36" s="20">
        <f t="shared" si="7"/>
        <v>0.1111111111</v>
      </c>
      <c r="BG36" s="20"/>
      <c r="BH36" s="5"/>
    </row>
    <row r="37" ht="13.5" customHeight="1">
      <c r="A37" s="38" t="s">
        <v>91</v>
      </c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8"/>
      <c r="T37" s="29"/>
      <c r="U37" s="29"/>
      <c r="V37" s="29"/>
      <c r="W37" s="29"/>
      <c r="X37" s="28"/>
      <c r="Y37" s="29"/>
      <c r="Z37" s="31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19">
        <v>34.0</v>
      </c>
      <c r="AZ37" s="5">
        <f t="shared" si="1"/>
        <v>0</v>
      </c>
      <c r="BA37" s="5">
        <f t="shared" si="2"/>
        <v>0</v>
      </c>
      <c r="BB37" s="5">
        <f t="shared" si="3"/>
        <v>0</v>
      </c>
      <c r="BC37" s="5">
        <f t="shared" si="4"/>
        <v>0</v>
      </c>
      <c r="BD37" s="5">
        <f t="shared" si="5"/>
        <v>0</v>
      </c>
      <c r="BE37" s="5">
        <f t="shared" si="6"/>
        <v>0</v>
      </c>
      <c r="BF37" s="20" t="str">
        <f t="shared" si="7"/>
        <v>#DIV/0!</v>
      </c>
      <c r="BG37" s="20"/>
      <c r="BH37" s="5"/>
    </row>
    <row r="38" ht="13.5" customHeight="1">
      <c r="A38" s="37" t="s">
        <v>92</v>
      </c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8"/>
      <c r="T38" s="29"/>
      <c r="U38" s="29"/>
      <c r="V38" s="29"/>
      <c r="W38" s="29"/>
      <c r="X38" s="28"/>
      <c r="Y38" s="29"/>
      <c r="Z38" s="31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19">
        <v>35.0</v>
      </c>
      <c r="AZ38" s="5">
        <f t="shared" si="1"/>
        <v>0</v>
      </c>
      <c r="BA38" s="5">
        <f t="shared" si="2"/>
        <v>0</v>
      </c>
      <c r="BB38" s="5">
        <f t="shared" si="3"/>
        <v>0</v>
      </c>
      <c r="BC38" s="5">
        <f t="shared" si="4"/>
        <v>0</v>
      </c>
      <c r="BD38" s="5">
        <f t="shared" si="5"/>
        <v>0</v>
      </c>
      <c r="BE38" s="5">
        <f t="shared" si="6"/>
        <v>0</v>
      </c>
      <c r="BF38" s="20" t="str">
        <f t="shared" si="7"/>
        <v>#DIV/0!</v>
      </c>
      <c r="BG38" s="20"/>
      <c r="BH38" s="5"/>
    </row>
    <row r="39">
      <c r="A39" s="37" t="s">
        <v>93</v>
      </c>
      <c r="B39" s="28"/>
      <c r="C39" s="29">
        <v>0.0</v>
      </c>
      <c r="D39" s="29"/>
      <c r="E39" s="29"/>
      <c r="F39" s="29"/>
      <c r="G39" s="29"/>
      <c r="H39" s="29"/>
      <c r="I39" s="29">
        <v>-1.0</v>
      </c>
      <c r="J39" s="29"/>
      <c r="K39" s="29"/>
      <c r="L39" s="29"/>
      <c r="M39" s="29"/>
      <c r="N39" s="29"/>
      <c r="O39" s="29"/>
      <c r="P39" s="29"/>
      <c r="Q39" s="29"/>
      <c r="R39" s="29"/>
      <c r="S39" s="28"/>
      <c r="T39" s="29"/>
      <c r="U39" s="29"/>
      <c r="V39" s="29"/>
      <c r="W39" s="29"/>
      <c r="X39" s="28"/>
      <c r="Y39" s="29"/>
      <c r="Z39" s="31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19">
        <v>33.0</v>
      </c>
      <c r="AZ39" s="5">
        <f t="shared" si="1"/>
        <v>2</v>
      </c>
      <c r="BA39" s="5">
        <f t="shared" si="2"/>
        <v>0</v>
      </c>
      <c r="BB39" s="5">
        <f t="shared" si="3"/>
        <v>1</v>
      </c>
      <c r="BC39" s="5">
        <f t="shared" si="4"/>
        <v>1</v>
      </c>
      <c r="BD39" s="5">
        <f t="shared" si="5"/>
        <v>1</v>
      </c>
      <c r="BE39" s="5">
        <f t="shared" si="6"/>
        <v>-1</v>
      </c>
      <c r="BF39" s="20">
        <f t="shared" si="7"/>
        <v>0.1666666667</v>
      </c>
      <c r="BG39" s="20"/>
      <c r="BH39" s="5"/>
    </row>
    <row r="40" ht="13.5" customHeight="1">
      <c r="A40" s="37" t="s">
        <v>94</v>
      </c>
      <c r="B40" s="28"/>
      <c r="C40" s="29"/>
      <c r="D40" s="29">
        <v>-2.0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8"/>
      <c r="T40" s="29"/>
      <c r="U40" s="29"/>
      <c r="V40" s="29"/>
      <c r="W40" s="29"/>
      <c r="X40" s="28"/>
      <c r="Y40" s="29"/>
      <c r="Z40" s="31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19">
        <v>34.0</v>
      </c>
      <c r="AZ40" s="5">
        <f t="shared" si="1"/>
        <v>1</v>
      </c>
      <c r="BA40" s="5">
        <f t="shared" si="2"/>
        <v>0</v>
      </c>
      <c r="BB40" s="5">
        <f t="shared" si="3"/>
        <v>0</v>
      </c>
      <c r="BC40" s="5">
        <f t="shared" si="4"/>
        <v>1</v>
      </c>
      <c r="BD40" s="5">
        <f t="shared" si="5"/>
        <v>0</v>
      </c>
      <c r="BE40" s="5">
        <f t="shared" si="6"/>
        <v>-2</v>
      </c>
      <c r="BF40" s="20">
        <f t="shared" si="7"/>
        <v>0</v>
      </c>
      <c r="BG40" s="20"/>
      <c r="BH40" s="5"/>
    </row>
    <row r="41" ht="13.5" customHeight="1">
      <c r="A41" s="37" t="s">
        <v>95</v>
      </c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>
        <v>-2.0</v>
      </c>
      <c r="N41" s="29"/>
      <c r="O41" s="29"/>
      <c r="P41" s="29"/>
      <c r="Q41" s="29"/>
      <c r="R41" s="29"/>
      <c r="S41" s="28"/>
      <c r="T41" s="29"/>
      <c r="U41" s="29"/>
      <c r="V41" s="29"/>
      <c r="W41" s="29"/>
      <c r="X41" s="28"/>
      <c r="Y41" s="29">
        <v>-1.0</v>
      </c>
      <c r="Z41" s="31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19">
        <v>35.0</v>
      </c>
      <c r="AZ41" s="5">
        <f t="shared" si="1"/>
        <v>2</v>
      </c>
      <c r="BA41" s="5">
        <f t="shared" si="2"/>
        <v>0</v>
      </c>
      <c r="BB41" s="5">
        <f t="shared" si="3"/>
        <v>0</v>
      </c>
      <c r="BC41" s="5">
        <f t="shared" si="4"/>
        <v>2</v>
      </c>
      <c r="BD41" s="5">
        <f t="shared" si="5"/>
        <v>0</v>
      </c>
      <c r="BE41" s="5">
        <f t="shared" si="6"/>
        <v>-3</v>
      </c>
      <c r="BF41" s="20">
        <f t="shared" si="7"/>
        <v>0</v>
      </c>
      <c r="BG41" s="20"/>
      <c r="BH41" s="5"/>
    </row>
    <row r="42" ht="17.25" customHeight="1">
      <c r="A42" s="39" t="s">
        <v>96</v>
      </c>
      <c r="B42" s="34">
        <f t="shared" ref="B42:AW42" si="8">COUNT(B5:B41)</f>
        <v>0</v>
      </c>
      <c r="C42" s="34">
        <f t="shared" si="8"/>
        <v>18</v>
      </c>
      <c r="D42" s="34">
        <f t="shared" si="8"/>
        <v>14</v>
      </c>
      <c r="E42" s="34">
        <f t="shared" si="8"/>
        <v>18</v>
      </c>
      <c r="F42" s="34">
        <f t="shared" si="8"/>
        <v>12</v>
      </c>
      <c r="G42" s="34">
        <f t="shared" si="8"/>
        <v>12</v>
      </c>
      <c r="H42" s="34">
        <f t="shared" si="8"/>
        <v>14</v>
      </c>
      <c r="I42" s="34">
        <f t="shared" si="8"/>
        <v>20</v>
      </c>
      <c r="J42" s="34">
        <f t="shared" si="8"/>
        <v>16</v>
      </c>
      <c r="K42" s="34">
        <f t="shared" si="8"/>
        <v>18</v>
      </c>
      <c r="L42" s="34">
        <f t="shared" si="8"/>
        <v>15</v>
      </c>
      <c r="M42" s="34">
        <f t="shared" si="8"/>
        <v>17</v>
      </c>
      <c r="N42" s="34">
        <f t="shared" si="8"/>
        <v>17</v>
      </c>
      <c r="O42" s="34">
        <f t="shared" si="8"/>
        <v>16</v>
      </c>
      <c r="P42" s="34">
        <f t="shared" si="8"/>
        <v>14</v>
      </c>
      <c r="Q42" s="34">
        <f t="shared" si="8"/>
        <v>15</v>
      </c>
      <c r="R42" s="34">
        <f t="shared" si="8"/>
        <v>12</v>
      </c>
      <c r="S42" s="34">
        <f t="shared" si="8"/>
        <v>0</v>
      </c>
      <c r="T42" s="34">
        <f t="shared" si="8"/>
        <v>13</v>
      </c>
      <c r="U42" s="34">
        <f t="shared" si="8"/>
        <v>9</v>
      </c>
      <c r="V42" s="34">
        <f t="shared" si="8"/>
        <v>16</v>
      </c>
      <c r="W42" s="34">
        <f t="shared" si="8"/>
        <v>16</v>
      </c>
      <c r="X42" s="34">
        <f t="shared" si="8"/>
        <v>0</v>
      </c>
      <c r="Y42" s="34">
        <f t="shared" si="8"/>
        <v>18</v>
      </c>
      <c r="Z42" s="34">
        <f t="shared" si="8"/>
        <v>0</v>
      </c>
      <c r="AA42" s="34">
        <f t="shared" si="8"/>
        <v>14</v>
      </c>
      <c r="AB42" s="34">
        <f t="shared" si="8"/>
        <v>19</v>
      </c>
      <c r="AC42" s="34">
        <f t="shared" si="8"/>
        <v>17</v>
      </c>
      <c r="AD42" s="34">
        <f t="shared" si="8"/>
        <v>20</v>
      </c>
      <c r="AE42" s="34">
        <f t="shared" si="8"/>
        <v>20</v>
      </c>
      <c r="AF42" s="34">
        <f t="shared" si="8"/>
        <v>16</v>
      </c>
      <c r="AG42" s="34">
        <f t="shared" si="8"/>
        <v>0</v>
      </c>
      <c r="AH42" s="34">
        <f t="shared" si="8"/>
        <v>0</v>
      </c>
      <c r="AI42" s="34">
        <f t="shared" si="8"/>
        <v>0</v>
      </c>
      <c r="AJ42" s="34">
        <f t="shared" si="8"/>
        <v>0</v>
      </c>
      <c r="AK42" s="34">
        <f t="shared" si="8"/>
        <v>0</v>
      </c>
      <c r="AL42" s="34">
        <f t="shared" si="8"/>
        <v>0</v>
      </c>
      <c r="AM42" s="34">
        <f t="shared" si="8"/>
        <v>0</v>
      </c>
      <c r="AN42" s="34">
        <f t="shared" si="8"/>
        <v>0</v>
      </c>
      <c r="AO42" s="34">
        <f t="shared" si="8"/>
        <v>0</v>
      </c>
      <c r="AP42" s="34">
        <f t="shared" si="8"/>
        <v>0</v>
      </c>
      <c r="AQ42" s="34">
        <f t="shared" si="8"/>
        <v>0</v>
      </c>
      <c r="AR42" s="34">
        <f t="shared" si="8"/>
        <v>0</v>
      </c>
      <c r="AS42" s="34">
        <f t="shared" si="8"/>
        <v>0</v>
      </c>
      <c r="AT42" s="34">
        <f t="shared" si="8"/>
        <v>0</v>
      </c>
      <c r="AU42" s="34">
        <f t="shared" si="8"/>
        <v>0</v>
      </c>
      <c r="AV42" s="34">
        <f t="shared" si="8"/>
        <v>0</v>
      </c>
      <c r="AW42" s="34">
        <f t="shared" si="8"/>
        <v>0</v>
      </c>
      <c r="AX42" s="34"/>
      <c r="AZ42" s="5"/>
      <c r="BA42" s="5"/>
      <c r="BB42" s="5"/>
      <c r="BC42" s="5"/>
      <c r="BD42" s="5"/>
      <c r="BE42" s="5"/>
      <c r="BF42" s="20"/>
      <c r="BG42" s="20"/>
      <c r="BH42" s="5"/>
    </row>
    <row r="43" ht="15.75" customHeight="1">
      <c r="A43" s="40" t="s">
        <v>97</v>
      </c>
      <c r="B43" s="5"/>
      <c r="C43" s="41" t="s">
        <v>98</v>
      </c>
      <c r="D43" s="5" t="s">
        <v>99</v>
      </c>
      <c r="E43" s="5" t="s">
        <v>100</v>
      </c>
      <c r="F43" s="5" t="s">
        <v>99</v>
      </c>
      <c r="G43" s="5" t="s">
        <v>101</v>
      </c>
      <c r="H43" s="5" t="s">
        <v>102</v>
      </c>
      <c r="I43" s="5" t="s">
        <v>103</v>
      </c>
      <c r="J43" s="5" t="s">
        <v>104</v>
      </c>
      <c r="K43" s="5" t="s">
        <v>98</v>
      </c>
      <c r="L43" s="42" t="s">
        <v>105</v>
      </c>
      <c r="M43" s="42" t="s">
        <v>106</v>
      </c>
      <c r="N43" s="42" t="s">
        <v>107</v>
      </c>
      <c r="O43" s="42" t="s">
        <v>108</v>
      </c>
      <c r="P43" s="5" t="s">
        <v>109</v>
      </c>
      <c r="Q43" s="5" t="s">
        <v>110</v>
      </c>
      <c r="R43" s="5" t="s">
        <v>111</v>
      </c>
      <c r="S43" s="42" t="s">
        <v>112</v>
      </c>
      <c r="T43" s="42" t="s">
        <v>112</v>
      </c>
      <c r="U43" s="42" t="s">
        <v>112</v>
      </c>
      <c r="V43" s="42" t="s">
        <v>113</v>
      </c>
      <c r="W43" s="5" t="s">
        <v>113</v>
      </c>
      <c r="X43" s="5" t="s">
        <v>112</v>
      </c>
      <c r="Y43" s="5" t="s">
        <v>114</v>
      </c>
      <c r="Z43" s="42" t="s">
        <v>112</v>
      </c>
      <c r="AA43" s="42" t="s">
        <v>115</v>
      </c>
      <c r="AB43" s="42" t="s">
        <v>116</v>
      </c>
      <c r="AC43" s="5" t="s">
        <v>106</v>
      </c>
      <c r="AD43" s="42" t="s">
        <v>117</v>
      </c>
      <c r="AE43" s="42" t="s">
        <v>103</v>
      </c>
      <c r="AF43" s="42" t="s">
        <v>118</v>
      </c>
      <c r="AG43" s="5"/>
      <c r="AH43" s="42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Z43" s="5"/>
      <c r="BA43" s="5"/>
      <c r="BB43" s="5"/>
      <c r="BC43" s="5"/>
      <c r="BD43" s="5"/>
      <c r="BE43" s="5"/>
      <c r="BF43" s="20"/>
      <c r="BG43" s="20"/>
      <c r="BH43" s="5"/>
    </row>
    <row r="44" ht="15.75" customHeight="1">
      <c r="A44" s="2"/>
      <c r="B44" s="5"/>
      <c r="C44" s="43"/>
      <c r="D44" s="5"/>
      <c r="E44" s="5"/>
      <c r="F44" s="5"/>
      <c r="G44" s="43"/>
      <c r="H44" s="4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Z44" s="5"/>
      <c r="BA44" s="5"/>
      <c r="BB44" s="5"/>
      <c r="BC44" s="5"/>
      <c r="BD44" s="5"/>
      <c r="BE44" s="5"/>
      <c r="BF44" s="20"/>
      <c r="BG44" s="20"/>
      <c r="BH44" s="5"/>
    </row>
    <row r="45" ht="15.75" customHeight="1">
      <c r="A45" s="40"/>
      <c r="B45" s="5"/>
      <c r="C45" s="5"/>
      <c r="D45" s="5"/>
      <c r="E45" s="5"/>
      <c r="F45" s="43"/>
      <c r="G45" s="5"/>
      <c r="H45" s="5"/>
      <c r="I45" s="5"/>
      <c r="J45" s="5"/>
      <c r="K45" s="5"/>
      <c r="L45" s="42"/>
      <c r="M45" s="42"/>
      <c r="Q45" s="5"/>
      <c r="W45" s="5"/>
      <c r="AC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Z45" s="5"/>
      <c r="BA45" s="5"/>
      <c r="BB45" s="5"/>
      <c r="BC45" s="5"/>
      <c r="BD45" s="5"/>
      <c r="BE45" s="5"/>
      <c r="BF45" s="20"/>
      <c r="BG45" s="20"/>
      <c r="BH45" s="5"/>
    </row>
    <row r="46" ht="15.75" customHeight="1">
      <c r="A46" s="40"/>
      <c r="B46" s="44"/>
      <c r="C46" s="5"/>
      <c r="D46" s="5"/>
      <c r="E46" s="5"/>
      <c r="F46" s="5"/>
      <c r="G46" s="5"/>
      <c r="Q46" s="5"/>
      <c r="W46" s="5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Z46" s="5"/>
      <c r="BA46" s="5"/>
      <c r="BB46" s="5"/>
      <c r="BC46" s="5"/>
      <c r="BD46" s="5"/>
      <c r="BE46" s="5"/>
      <c r="BF46" s="20"/>
      <c r="BG46" s="20"/>
    </row>
    <row r="47" ht="15.75" customHeight="1">
      <c r="A47" s="40"/>
      <c r="W47" s="5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W48" s="5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W49" s="5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J50" s="45"/>
      <c r="L50" s="45"/>
      <c r="W50" s="5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L51" s="45"/>
      <c r="W51" s="5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J52" s="45"/>
      <c r="W52" s="5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L53" s="45"/>
      <c r="W53" s="5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W54" s="5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W55" s="5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W56" s="5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B57" s="5"/>
      <c r="C57" s="5"/>
      <c r="D57" s="5"/>
      <c r="E57" s="5"/>
      <c r="F57" s="5"/>
      <c r="G57" s="5"/>
      <c r="H57" s="5"/>
      <c r="I57" s="5"/>
      <c r="W57" s="5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B58" s="5"/>
      <c r="C58" s="5"/>
      <c r="D58" s="5"/>
      <c r="E58" s="5"/>
      <c r="F58" s="5"/>
      <c r="G58" s="5"/>
      <c r="H58" s="5"/>
      <c r="I58" s="5"/>
      <c r="W58" s="5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B59" s="5"/>
      <c r="C59" s="5"/>
      <c r="D59" s="5"/>
      <c r="E59" s="5"/>
      <c r="F59" s="5"/>
      <c r="G59" s="5"/>
      <c r="H59" s="5"/>
      <c r="I59" s="5"/>
      <c r="W59" s="5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B60" s="5"/>
      <c r="C60" s="5"/>
      <c r="D60" s="5"/>
      <c r="E60" s="5"/>
      <c r="F60" s="5"/>
      <c r="G60" s="5"/>
      <c r="H60" s="5"/>
      <c r="I60" s="5"/>
      <c r="W60" s="5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B61" s="5"/>
      <c r="C61" s="5"/>
      <c r="D61" s="5"/>
      <c r="E61" s="5"/>
      <c r="F61" s="5"/>
      <c r="G61" s="43"/>
      <c r="H61" s="5"/>
      <c r="I61" s="5"/>
      <c r="W61" s="5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B62" s="5"/>
      <c r="C62" s="5"/>
      <c r="D62" s="5"/>
      <c r="E62" s="5"/>
      <c r="F62" s="5"/>
      <c r="G62" s="5"/>
      <c r="H62" s="5"/>
      <c r="I62" s="5"/>
      <c r="W62" s="5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B63" s="5"/>
      <c r="C63" s="5"/>
      <c r="D63" s="5"/>
      <c r="E63" s="5"/>
      <c r="F63" s="5"/>
      <c r="G63" s="5"/>
      <c r="H63" s="5"/>
      <c r="I63" s="5"/>
      <c r="W63" s="5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B64" s="5"/>
      <c r="C64" s="5"/>
      <c r="D64" s="43"/>
      <c r="E64" s="5"/>
      <c r="G64" s="43"/>
      <c r="W64" s="5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B65" s="5"/>
      <c r="C65" s="5"/>
      <c r="D65" s="5"/>
      <c r="E65" s="5"/>
      <c r="W65" s="5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B66" s="5"/>
      <c r="C66" s="5"/>
      <c r="D66" s="5"/>
      <c r="E66" s="5"/>
      <c r="W66" s="5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B67" s="5"/>
      <c r="C67" s="5"/>
      <c r="D67" s="5"/>
      <c r="E67" s="5"/>
      <c r="F67" s="5"/>
      <c r="G67" s="5"/>
      <c r="H67" s="5"/>
      <c r="W67" s="5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B68" s="5"/>
      <c r="C68" s="5"/>
      <c r="D68" s="5"/>
      <c r="E68" s="5"/>
      <c r="F68" s="5"/>
      <c r="G68" s="5"/>
      <c r="H68" s="5"/>
      <c r="W68" s="5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B69" s="5"/>
      <c r="C69" s="5"/>
      <c r="D69" s="5"/>
      <c r="E69" s="5"/>
      <c r="F69" s="5"/>
      <c r="G69" s="5"/>
      <c r="H69" s="5"/>
      <c r="W69" s="5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B70" s="5"/>
      <c r="C70" s="5"/>
      <c r="D70" s="5"/>
      <c r="E70" s="5"/>
      <c r="F70" s="5"/>
      <c r="G70" s="5"/>
      <c r="H70" s="5"/>
      <c r="W70" s="5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B71" s="5"/>
      <c r="C71" s="5"/>
      <c r="D71" s="43"/>
      <c r="E71" s="5"/>
      <c r="F71" s="5"/>
      <c r="G71" s="5"/>
      <c r="H71" s="5"/>
      <c r="W71" s="5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B72" s="5"/>
      <c r="C72" s="5"/>
      <c r="D72" s="5"/>
      <c r="E72" s="5"/>
      <c r="F72" s="5"/>
      <c r="G72" s="5"/>
      <c r="H72" s="5"/>
      <c r="W72" s="5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B73" s="5"/>
      <c r="C73" s="5"/>
      <c r="D73" s="5"/>
      <c r="E73" s="5"/>
      <c r="F73" s="5"/>
      <c r="G73" s="5"/>
      <c r="H73" s="5"/>
      <c r="W73" s="5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B74" s="5"/>
      <c r="C74" s="5"/>
      <c r="D74" s="5"/>
      <c r="E74" s="5"/>
      <c r="G74" s="5"/>
      <c r="W74" s="5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W75" s="5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D76" s="5"/>
      <c r="E76" s="5"/>
      <c r="F76" s="5"/>
      <c r="G76" s="5"/>
      <c r="W76" s="5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W77" s="5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W78" s="5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W79" s="5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W80" s="5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W81" s="5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W82" s="5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W83" s="5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W84" s="5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W85" s="5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W86" s="5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W87" s="5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W88" s="5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W89" s="5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W90" s="5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W91" s="5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W92" s="5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W93" s="5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W94" s="5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W95" s="5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W96" s="5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W97" s="5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W98" s="5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W99" s="5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W100" s="5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W101" s="5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W102" s="5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W103" s="5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W104" s="5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W105" s="5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W106" s="5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W107" s="5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W108" s="5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W109" s="5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W110" s="5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W111" s="5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W112" s="5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W113" s="5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W114" s="5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W115" s="5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W116" s="5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W117" s="5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W118" s="5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W119" s="5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W120" s="5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W121" s="5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W122" s="5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W123" s="5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W124" s="5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W125" s="5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W126" s="5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W127" s="5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W128" s="5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W129" s="5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W130" s="5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W131" s="5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W132" s="5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W133" s="5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W134" s="5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W135" s="5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W136" s="5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W137" s="5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W138" s="5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W139" s="5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W140" s="5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W141" s="5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W142" s="5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W143" s="5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W144" s="5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W145" s="5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W146" s="5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W147" s="5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W148" s="5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W149" s="5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W150" s="5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W151" s="5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W152" s="5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W153" s="5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W154" s="5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W155" s="5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W156" s="5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W157" s="5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W158" s="5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W159" s="5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W160" s="5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W161" s="5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W162" s="5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W163" s="5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W164" s="5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W165" s="5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W166" s="5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W167" s="5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W168" s="5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W169" s="5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W170" s="5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W171" s="5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W172" s="5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W173" s="5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W174" s="5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W175" s="5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W176" s="5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W177" s="5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W178" s="5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W179" s="5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W180" s="5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W181" s="5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W182" s="5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W183" s="5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W184" s="5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W185" s="5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W186" s="5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W187" s="5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W188" s="5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W189" s="5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W190" s="5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W191" s="5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W192" s="5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W193" s="5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W194" s="5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W195" s="5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W196" s="5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W197" s="5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W198" s="5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W199" s="5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W200" s="5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W201" s="5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W202" s="5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W203" s="5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W204" s="5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W205" s="5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W206" s="5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W207" s="5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W208" s="5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W209" s="5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W210" s="5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W211" s="5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W212" s="5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W213" s="5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W214" s="5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W215" s="5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W216" s="5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W217" s="5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W218" s="5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W219" s="5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W220" s="5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W221" s="5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W222" s="5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W223" s="5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W224" s="5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W225" s="5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W226" s="5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W227" s="5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W228" s="5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W229" s="5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W230" s="5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W231" s="5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W232" s="5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W233" s="5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W234" s="5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W235" s="5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W236" s="5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W237" s="5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W238" s="5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W239" s="5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W240" s="5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W241" s="5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W242" s="5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W243" s="5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W244" s="5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W245" s="5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W246" s="5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W247" s="5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W248" s="5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W249" s="5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W250" s="5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W251" s="5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W252" s="5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W253" s="5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W254" s="5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W255" s="5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W256" s="5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W257" s="5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W258" s="5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W259" s="5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W260" s="5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W261" s="5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W262" s="5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W263" s="5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W264" s="5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W265" s="5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W266" s="5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W267" s="5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W268" s="5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W269" s="5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W270" s="5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W271" s="5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W272" s="5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W273" s="5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W274" s="5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W275" s="5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W276" s="5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W277" s="5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W278" s="5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W279" s="5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W280" s="5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W281" s="5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W282" s="5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W283" s="5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W284" s="5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W285" s="5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W286" s="5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W287" s="5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W288" s="5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W289" s="5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W290" s="5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W291" s="5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W292" s="5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W293" s="5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W294" s="5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W295" s="5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W296" s="5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W297" s="5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W298" s="5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W299" s="5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W300" s="5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W301" s="5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W302" s="5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W303" s="5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W304" s="5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W305" s="5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W306" s="5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W307" s="5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W308" s="5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W309" s="5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W310" s="5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W311" s="5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W312" s="5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W313" s="5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W314" s="5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W315" s="5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W316" s="5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W317" s="5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W318" s="5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W319" s="5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W320" s="5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W321" s="5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W322" s="5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W323" s="5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W324" s="5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W325" s="5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W326" s="5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W327" s="5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W328" s="5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W329" s="5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W330" s="5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W331" s="5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W332" s="5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W333" s="5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W334" s="5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W335" s="5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W336" s="5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W337" s="5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W338" s="5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W339" s="5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W340" s="5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W341" s="5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W342" s="5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W343" s="5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W344" s="5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W345" s="5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W346" s="5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W347" s="5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W348" s="5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W349" s="5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W350" s="5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W351" s="5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W352" s="5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W353" s="5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W354" s="5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W355" s="5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W356" s="5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W357" s="5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W358" s="5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W359" s="5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W360" s="5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W361" s="5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W362" s="5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W363" s="5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W364" s="5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W365" s="5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W366" s="5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W367" s="5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W368" s="5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W369" s="5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W370" s="5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W371" s="5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W372" s="5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W373" s="5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W374" s="5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W375" s="5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W376" s="5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W377" s="5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W378" s="5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W379" s="5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W380" s="5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W381" s="5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W382" s="5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W383" s="5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W384" s="5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W385" s="5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W386" s="5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W387" s="5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W388" s="5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W389" s="5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W390" s="5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W391" s="5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W392" s="5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W393" s="5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W394" s="5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W395" s="5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W396" s="5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W397" s="5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W398" s="5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W399" s="5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W400" s="5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W401" s="5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W402" s="5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W403" s="5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W404" s="5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W405" s="5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W406" s="5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W407" s="5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W408" s="5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W409" s="5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W410" s="5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W411" s="5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W412" s="5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W413" s="5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W414" s="5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W415" s="5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W416" s="5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W417" s="5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W418" s="5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W419" s="5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W420" s="5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W421" s="5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W422" s="5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W423" s="5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W424" s="5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W425" s="5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W426" s="5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W427" s="5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W428" s="5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W429" s="5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W430" s="5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W431" s="5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W432" s="5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W433" s="5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W434" s="5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W435" s="5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W436" s="5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W437" s="5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W438" s="5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W439" s="5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W440" s="5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W441" s="5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W442" s="5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W443" s="5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W444" s="5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W445" s="5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W446" s="5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W447" s="5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W448" s="5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W449" s="5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W450" s="5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W451" s="5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W452" s="5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W453" s="5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W454" s="5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W455" s="5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W456" s="5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W457" s="5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W458" s="5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W459" s="5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W460" s="5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W461" s="5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W462" s="5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W463" s="5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W464" s="5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W465" s="5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W466" s="5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W467" s="5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W468" s="5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W469" s="5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W470" s="5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W471" s="5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W472" s="5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W473" s="5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W474" s="5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W475" s="5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W476" s="5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W477" s="5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W478" s="5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W479" s="5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W480" s="5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W481" s="5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W482" s="5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W483" s="5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W484" s="5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W485" s="5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W486" s="5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W487" s="5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W488" s="5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W489" s="5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W490" s="5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W491" s="5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W492" s="5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W493" s="5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W494" s="5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W495" s="5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W496" s="5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W497" s="5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W498" s="5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W499" s="5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W500" s="5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W501" s="5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W502" s="5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W503" s="5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W504" s="5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W505" s="5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W506" s="5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W507" s="5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W508" s="5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W509" s="5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W510" s="5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W511" s="5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W512" s="5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W513" s="5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W514" s="5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W515" s="5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W516" s="5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W517" s="5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W518" s="5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W519" s="5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W520" s="5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W521" s="5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W522" s="5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W523" s="5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W524" s="5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W525" s="5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W526" s="5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W527" s="5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W528" s="5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W529" s="5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W530" s="5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W531" s="5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W532" s="5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W533" s="5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W534" s="5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W535" s="5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W536" s="5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W537" s="5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W538" s="5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W539" s="5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W540" s="5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W541" s="5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W542" s="5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W543" s="5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W544" s="5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W545" s="5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W546" s="5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W547" s="5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W548" s="5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W549" s="5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W550" s="5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W551" s="5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W552" s="5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W553" s="5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W554" s="5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W555" s="5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W556" s="5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W557" s="5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W558" s="5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W559" s="5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W560" s="5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W561" s="5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W562" s="5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W563" s="5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W564" s="5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W565" s="5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W566" s="5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W567" s="5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W568" s="5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W569" s="5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W570" s="5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W571" s="5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W572" s="5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W573" s="5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W574" s="5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W575" s="5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W576" s="5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W577" s="5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W578" s="5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W579" s="5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W580" s="5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W581" s="5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W582" s="5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W583" s="5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W584" s="5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W585" s="5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W586" s="5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W587" s="5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W588" s="5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W589" s="5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W590" s="5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W591" s="5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W592" s="5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W593" s="5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W594" s="5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W595" s="5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W596" s="5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W597" s="5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W598" s="5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W599" s="5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W600" s="5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W601" s="5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W602" s="5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W603" s="5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W604" s="5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W605" s="5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W606" s="5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W607" s="5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W608" s="5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W609" s="5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W610" s="5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W611" s="5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W612" s="5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W613" s="5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W614" s="5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W615" s="5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W616" s="5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W617" s="5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W618" s="5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W619" s="5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W620" s="5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W621" s="5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W622" s="5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W623" s="5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W624" s="5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W625" s="5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W626" s="5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W627" s="5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W628" s="5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W629" s="5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W630" s="5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W631" s="5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W632" s="5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W633" s="5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W634" s="5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W635" s="5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W636" s="5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W637" s="5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W638" s="5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W639" s="5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W640" s="5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W641" s="5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W642" s="5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W643" s="5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W644" s="5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W645" s="5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W646" s="5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W647" s="5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W648" s="5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W649" s="5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W650" s="5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W651" s="5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W652" s="5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W653" s="5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W654" s="5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W655" s="5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W656" s="5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W657" s="5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W658" s="5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W659" s="5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W660" s="5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W661" s="5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W662" s="5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W663" s="5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W664" s="5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W665" s="5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W666" s="5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W667" s="5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W668" s="5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W669" s="5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W670" s="5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W671" s="5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W672" s="5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W673" s="5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W674" s="5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W675" s="5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W676" s="5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W677" s="5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W678" s="5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W679" s="5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W680" s="5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W681" s="5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W682" s="5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W683" s="5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W684" s="5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W685" s="5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W686" s="5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W687" s="5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W688" s="5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W689" s="5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W690" s="5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W691" s="5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W692" s="5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W693" s="5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W694" s="5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W695" s="5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W696" s="5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W697" s="5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W698" s="5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W699" s="5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W700" s="5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W701" s="5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W702" s="5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W703" s="5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W704" s="5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W705" s="5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W706" s="5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W707" s="5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W708" s="5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W709" s="5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W710" s="5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W711" s="5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W712" s="5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W713" s="5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W714" s="5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W715" s="5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W716" s="5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W717" s="5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W718" s="5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W719" s="5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W720" s="5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W721" s="5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W722" s="5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W723" s="5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W724" s="5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W725" s="5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W726" s="5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W727" s="5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W728" s="5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W729" s="5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W730" s="5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W731" s="5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W732" s="5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W733" s="5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W734" s="5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W735" s="5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W736" s="5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W737" s="5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W738" s="5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W739" s="5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W740" s="5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W741" s="5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W742" s="5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W743" s="5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W744" s="5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W745" s="5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W746" s="5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W747" s="5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W748" s="5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W749" s="5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W750" s="5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W751" s="5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W752" s="5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W753" s="5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W754" s="5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W755" s="5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W756" s="5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W757" s="5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W758" s="5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W759" s="5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W760" s="5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W761" s="5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W762" s="5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W763" s="5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W764" s="5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W765" s="5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W766" s="5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W767" s="5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W768" s="5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W769" s="5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W770" s="5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W771" s="5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W772" s="5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W773" s="5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W774" s="5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W775" s="5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W776" s="5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W777" s="5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W778" s="5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W779" s="5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W780" s="5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W781" s="5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W782" s="5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W783" s="5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W784" s="5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W785" s="5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W786" s="5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W787" s="5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W788" s="5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W789" s="5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W790" s="5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W791" s="5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W792" s="5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W793" s="5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W794" s="5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W795" s="5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W796" s="5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W797" s="5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W798" s="5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W799" s="5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W800" s="5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W801" s="5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W802" s="5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W803" s="5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W804" s="5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W805" s="5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W806" s="5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W807" s="5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W808" s="5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W809" s="5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W810" s="5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W811" s="5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W812" s="5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W813" s="5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W814" s="5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W815" s="5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W816" s="5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W817" s="5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W818" s="5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W819" s="5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W820" s="5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W821" s="5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W822" s="5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W823" s="5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W824" s="5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W825" s="5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W826" s="5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W827" s="5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W828" s="5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W829" s="5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W830" s="5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W831" s="5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W832" s="5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W833" s="5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W834" s="5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W835" s="5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W836" s="5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W837" s="5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W838" s="5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W839" s="5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W840" s="5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W841" s="5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W842" s="5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W843" s="5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W844" s="5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W845" s="5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W846" s="5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W847" s="5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W848" s="5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W849" s="5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W850" s="5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W851" s="5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W852" s="5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W853" s="5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W854" s="5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W855" s="5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W856" s="5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W857" s="5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W858" s="5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W859" s="5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W860" s="5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W861" s="5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W862" s="5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W863" s="5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W864" s="5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W865" s="5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W866" s="5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W867" s="5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W868" s="5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W869" s="5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W870" s="5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W871" s="5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W872" s="5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W873" s="5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W874" s="5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W875" s="5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W876" s="5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W877" s="5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W878" s="5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W879" s="5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W880" s="5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W881" s="5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W882" s="5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W883" s="5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W884" s="5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W885" s="5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W886" s="5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W887" s="5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W888" s="5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W889" s="5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W890" s="5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W891" s="5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W892" s="5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W893" s="5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W894" s="5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W895" s="5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W896" s="5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W897" s="5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W898" s="5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W899" s="5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W900" s="5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W901" s="5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W902" s="5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W903" s="5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W904" s="5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W905" s="5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W906" s="5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W907" s="5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W908" s="5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W909" s="5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W910" s="5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W911" s="5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W912" s="5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W913" s="5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W914" s="5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W915" s="5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W916" s="5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W917" s="5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W918" s="5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W919" s="5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W920" s="5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W921" s="5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W922" s="5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W923" s="5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W924" s="5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W925" s="5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W926" s="5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W927" s="5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W928" s="5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W929" s="5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W930" s="5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W931" s="5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W932" s="5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W933" s="5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W934" s="5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W935" s="5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W936" s="5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W937" s="5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W938" s="5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W939" s="5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W940" s="5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W941" s="5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W942" s="5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W943" s="5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W944" s="5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W945" s="5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W946" s="5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W947" s="5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W948" s="5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W949" s="5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W950" s="5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W951" s="5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W952" s="5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W953" s="5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W954" s="5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W955" s="5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W956" s="5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W957" s="5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W958" s="5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W959" s="5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W960" s="5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W961" s="5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W962" s="5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W963" s="5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W964" s="5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W965" s="5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W966" s="5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W967" s="5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W968" s="5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W969" s="5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W970" s="5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W971" s="5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W972" s="5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W973" s="5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W974" s="5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W975" s="5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W976" s="5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W977" s="5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W978" s="5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W979" s="5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W980" s="5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W981" s="5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W982" s="5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W983" s="5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W984" s="5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W985" s="5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W986" s="5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W987" s="5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W988" s="5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W989" s="5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W990" s="5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W991" s="5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W992" s="5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W993" s="5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W994" s="5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W995" s="5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W996" s="5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W997" s="5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W998" s="5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W999" s="5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W1000" s="5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8" width="8.86"/>
    <col customWidth="1" hidden="1" min="9" max="10" width="8.86"/>
    <col customWidth="1" min="11" max="26" width="8.86"/>
  </cols>
  <sheetData>
    <row r="1">
      <c r="A1" s="46" t="s">
        <v>1</v>
      </c>
      <c r="B1" s="46" t="s">
        <v>119</v>
      </c>
      <c r="C1" s="46" t="s">
        <v>120</v>
      </c>
      <c r="D1" s="46" t="s">
        <v>121</v>
      </c>
      <c r="E1" s="46" t="s">
        <v>122</v>
      </c>
      <c r="F1" s="46" t="s">
        <v>123</v>
      </c>
      <c r="G1" s="46" t="s">
        <v>56</v>
      </c>
      <c r="I1" s="46" t="s">
        <v>124</v>
      </c>
      <c r="J1" s="46" t="s">
        <v>125</v>
      </c>
    </row>
    <row r="2">
      <c r="A2" s="37" t="s">
        <v>62</v>
      </c>
      <c r="B2" s="46">
        <v>3.0</v>
      </c>
      <c r="C2" s="46">
        <v>2.0</v>
      </c>
      <c r="D2" s="46">
        <v>0.0</v>
      </c>
      <c r="E2" s="46">
        <v>1.0</v>
      </c>
      <c r="F2" s="46">
        <v>4.0</v>
      </c>
      <c r="G2" s="46">
        <f t="shared" ref="G2:G26" si="1">SUM(C2*3)+D2</f>
        <v>6</v>
      </c>
    </row>
    <row r="3">
      <c r="A3" s="14" t="s">
        <v>65</v>
      </c>
      <c r="B3" s="47">
        <v>2.0</v>
      </c>
      <c r="C3" s="47">
        <v>2.0</v>
      </c>
      <c r="D3" s="47">
        <v>0.0</v>
      </c>
      <c r="E3" s="47">
        <v>0.0</v>
      </c>
      <c r="F3" s="47">
        <v>2.0</v>
      </c>
      <c r="G3" s="47">
        <f t="shared" si="1"/>
        <v>6</v>
      </c>
      <c r="I3" s="46">
        <v>18.0</v>
      </c>
      <c r="J3" s="48">
        <f t="shared" ref="J3:J7" si="2">I3/B3</f>
        <v>9</v>
      </c>
    </row>
    <row r="4">
      <c r="A4" s="22" t="s">
        <v>126</v>
      </c>
      <c r="B4" s="46">
        <v>3.0</v>
      </c>
      <c r="C4" s="46">
        <v>1.0</v>
      </c>
      <c r="D4" s="46">
        <v>2.0</v>
      </c>
      <c r="E4" s="46">
        <v>0.0</v>
      </c>
      <c r="F4" s="46">
        <v>2.0</v>
      </c>
      <c r="G4" s="46">
        <f t="shared" si="1"/>
        <v>5</v>
      </c>
      <c r="I4" s="46">
        <v>24.0</v>
      </c>
      <c r="J4" s="48">
        <f t="shared" si="2"/>
        <v>8</v>
      </c>
    </row>
    <row r="5">
      <c r="A5" s="27" t="s">
        <v>75</v>
      </c>
      <c r="B5" s="46">
        <v>2.0</v>
      </c>
      <c r="C5" s="46">
        <v>1.0</v>
      </c>
      <c r="D5" s="46">
        <v>1.0</v>
      </c>
      <c r="E5" s="46">
        <v>0.0</v>
      </c>
      <c r="F5" s="46">
        <v>5.0</v>
      </c>
      <c r="G5" s="46">
        <f t="shared" si="1"/>
        <v>4</v>
      </c>
      <c r="I5" s="46">
        <v>27.0</v>
      </c>
      <c r="J5" s="48">
        <f t="shared" si="2"/>
        <v>13.5</v>
      </c>
    </row>
    <row r="6">
      <c r="A6" s="14" t="s">
        <v>64</v>
      </c>
      <c r="B6" s="47">
        <v>2.0</v>
      </c>
      <c r="C6" s="47">
        <v>1.0</v>
      </c>
      <c r="D6" s="47">
        <v>1.0</v>
      </c>
      <c r="E6" s="47">
        <v>0.0</v>
      </c>
      <c r="F6" s="47">
        <v>4.0</v>
      </c>
      <c r="G6" s="47">
        <f t="shared" si="1"/>
        <v>4</v>
      </c>
      <c r="I6" s="46">
        <v>19.0</v>
      </c>
      <c r="J6" s="48">
        <f t="shared" si="2"/>
        <v>9.5</v>
      </c>
    </row>
    <row r="7">
      <c r="A7" s="32" t="s">
        <v>69</v>
      </c>
      <c r="B7" s="49">
        <v>2.0</v>
      </c>
      <c r="C7" s="49">
        <v>1.0</v>
      </c>
      <c r="D7" s="49">
        <v>1.0</v>
      </c>
      <c r="E7" s="49">
        <v>0.0</v>
      </c>
      <c r="F7" s="49">
        <v>2.0</v>
      </c>
      <c r="G7" s="49">
        <f t="shared" si="1"/>
        <v>4</v>
      </c>
      <c r="I7" s="46">
        <v>19.0</v>
      </c>
      <c r="J7" s="48">
        <f t="shared" si="2"/>
        <v>9.5</v>
      </c>
    </row>
    <row r="8">
      <c r="A8" s="32" t="s">
        <v>88</v>
      </c>
      <c r="B8" s="46">
        <v>2.0</v>
      </c>
      <c r="C8" s="46">
        <v>1.0</v>
      </c>
      <c r="D8" s="46">
        <v>1.0</v>
      </c>
      <c r="E8" s="46">
        <v>0.0</v>
      </c>
      <c r="F8" s="46">
        <v>2.0</v>
      </c>
      <c r="G8" s="46">
        <f t="shared" si="1"/>
        <v>4</v>
      </c>
      <c r="J8" s="48"/>
    </row>
    <row r="9">
      <c r="A9" s="37" t="s">
        <v>83</v>
      </c>
      <c r="B9" s="46">
        <v>3.0</v>
      </c>
      <c r="C9" s="46">
        <v>1.0</v>
      </c>
      <c r="D9" s="46">
        <v>1.0</v>
      </c>
      <c r="E9" s="46">
        <v>1.0</v>
      </c>
      <c r="F9" s="46">
        <v>2.0</v>
      </c>
      <c r="G9" s="46">
        <f t="shared" si="1"/>
        <v>4</v>
      </c>
      <c r="J9" s="48"/>
    </row>
    <row r="10">
      <c r="A10" s="37" t="s">
        <v>77</v>
      </c>
      <c r="B10" s="46">
        <v>2.0</v>
      </c>
      <c r="C10" s="46">
        <v>1.0</v>
      </c>
      <c r="D10" s="46">
        <v>1.0</v>
      </c>
      <c r="E10" s="46">
        <v>0.0</v>
      </c>
      <c r="F10" s="46">
        <v>1.0</v>
      </c>
      <c r="G10" s="46">
        <f t="shared" si="1"/>
        <v>4</v>
      </c>
      <c r="H10" s="6"/>
      <c r="J10" s="48"/>
    </row>
    <row r="11">
      <c r="A11" s="37" t="s">
        <v>63</v>
      </c>
      <c r="B11" s="46">
        <v>2.0</v>
      </c>
      <c r="C11" s="46">
        <v>1.0</v>
      </c>
      <c r="D11" s="46">
        <v>1.0</v>
      </c>
      <c r="E11" s="46">
        <v>0.0</v>
      </c>
      <c r="F11" s="46">
        <v>1.0</v>
      </c>
      <c r="G11" s="46">
        <f t="shared" si="1"/>
        <v>4</v>
      </c>
      <c r="J11" s="48"/>
    </row>
    <row r="12">
      <c r="A12" s="37" t="s">
        <v>59</v>
      </c>
      <c r="B12" s="46">
        <v>3.0</v>
      </c>
      <c r="C12" s="46">
        <v>1.0</v>
      </c>
      <c r="D12" s="46">
        <v>1.0</v>
      </c>
      <c r="E12" s="46">
        <v>1.0</v>
      </c>
      <c r="F12" s="46">
        <v>0.0</v>
      </c>
      <c r="G12" s="46">
        <f t="shared" si="1"/>
        <v>4</v>
      </c>
      <c r="I12" s="46">
        <v>25.0</v>
      </c>
      <c r="J12" s="48">
        <f t="shared" ref="J12:J25" si="3">I12/B12</f>
        <v>8.333333333</v>
      </c>
    </row>
    <row r="13">
      <c r="A13" s="37" t="s">
        <v>66</v>
      </c>
      <c r="B13" s="46">
        <v>3.0</v>
      </c>
      <c r="C13" s="46">
        <v>1.0</v>
      </c>
      <c r="D13" s="46">
        <v>1.0</v>
      </c>
      <c r="E13" s="46">
        <v>1.0</v>
      </c>
      <c r="F13" s="46">
        <v>-1.0</v>
      </c>
      <c r="G13" s="46">
        <f t="shared" si="1"/>
        <v>4</v>
      </c>
      <c r="H13" s="6"/>
      <c r="I13" s="46">
        <v>5.0</v>
      </c>
      <c r="J13" s="48">
        <f t="shared" si="3"/>
        <v>1.666666667</v>
      </c>
    </row>
    <row r="14">
      <c r="A14" s="37" t="s">
        <v>82</v>
      </c>
      <c r="B14" s="46">
        <v>1.0</v>
      </c>
      <c r="C14" s="46">
        <v>1.0</v>
      </c>
      <c r="D14" s="46">
        <v>0.0</v>
      </c>
      <c r="E14" s="46">
        <v>0.0</v>
      </c>
      <c r="F14" s="46">
        <v>2.0</v>
      </c>
      <c r="G14" s="46">
        <f t="shared" si="1"/>
        <v>3</v>
      </c>
      <c r="I14" s="46">
        <v>19.0</v>
      </c>
      <c r="J14" s="48">
        <f t="shared" si="3"/>
        <v>19</v>
      </c>
    </row>
    <row r="15">
      <c r="A15" s="37" t="s">
        <v>74</v>
      </c>
      <c r="B15" s="46">
        <v>1.0</v>
      </c>
      <c r="C15" s="46">
        <v>1.0</v>
      </c>
      <c r="D15" s="46">
        <v>0.0</v>
      </c>
      <c r="E15" s="46">
        <v>0.0</v>
      </c>
      <c r="F15" s="46">
        <v>1.0</v>
      </c>
      <c r="G15" s="46">
        <f t="shared" si="1"/>
        <v>3</v>
      </c>
      <c r="I15" s="46">
        <v>12.0</v>
      </c>
      <c r="J15" s="48">
        <f t="shared" si="3"/>
        <v>12</v>
      </c>
    </row>
    <row r="16">
      <c r="A16" s="37" t="s">
        <v>73</v>
      </c>
      <c r="B16" s="46">
        <v>2.0</v>
      </c>
      <c r="C16" s="46">
        <v>1.0</v>
      </c>
      <c r="D16" s="46">
        <v>0.0</v>
      </c>
      <c r="E16" s="46">
        <v>1.0</v>
      </c>
      <c r="F16" s="46">
        <v>0.0</v>
      </c>
      <c r="G16" s="46">
        <f t="shared" si="1"/>
        <v>3</v>
      </c>
      <c r="I16" s="46">
        <v>23.0</v>
      </c>
      <c r="J16" s="48">
        <f t="shared" si="3"/>
        <v>11.5</v>
      </c>
    </row>
    <row r="17">
      <c r="A17" s="37" t="s">
        <v>79</v>
      </c>
      <c r="B17" s="46">
        <v>2.0</v>
      </c>
      <c r="C17" s="46">
        <v>1.0</v>
      </c>
      <c r="D17" s="46">
        <v>0.0</v>
      </c>
      <c r="E17" s="46">
        <v>1.0</v>
      </c>
      <c r="F17" s="46">
        <v>-3.0</v>
      </c>
      <c r="G17" s="46">
        <f t="shared" si="1"/>
        <v>3</v>
      </c>
      <c r="I17" s="50">
        <v>19.0</v>
      </c>
      <c r="J17" s="48">
        <f t="shared" si="3"/>
        <v>9.5</v>
      </c>
    </row>
    <row r="18">
      <c r="A18" s="37" t="s">
        <v>68</v>
      </c>
      <c r="B18" s="46">
        <v>2.0</v>
      </c>
      <c r="C18" s="46">
        <v>0.0</v>
      </c>
      <c r="D18" s="46">
        <v>2.0</v>
      </c>
      <c r="E18" s="46">
        <v>0.0</v>
      </c>
      <c r="F18" s="46">
        <v>0.0</v>
      </c>
      <c r="G18" s="46">
        <f t="shared" si="1"/>
        <v>2</v>
      </c>
      <c r="I18" s="50">
        <v>15.0</v>
      </c>
      <c r="J18" s="48">
        <f t="shared" si="3"/>
        <v>7.5</v>
      </c>
    </row>
    <row r="19">
      <c r="A19" s="37" t="s">
        <v>80</v>
      </c>
      <c r="B19" s="46">
        <v>1.0</v>
      </c>
      <c r="C19" s="46">
        <v>0.0</v>
      </c>
      <c r="D19" s="46">
        <v>1.0</v>
      </c>
      <c r="E19" s="46">
        <v>0.0</v>
      </c>
      <c r="F19" s="46">
        <v>0.0</v>
      </c>
      <c r="G19" s="46">
        <f t="shared" si="1"/>
        <v>1</v>
      </c>
      <c r="I19" s="50">
        <v>22.0</v>
      </c>
      <c r="J19" s="48">
        <f t="shared" si="3"/>
        <v>22</v>
      </c>
    </row>
    <row r="20">
      <c r="A20" s="37" t="s">
        <v>72</v>
      </c>
      <c r="B20" s="46">
        <v>2.0</v>
      </c>
      <c r="C20" s="46">
        <v>0.0</v>
      </c>
      <c r="D20" s="46">
        <v>1.0</v>
      </c>
      <c r="E20" s="46">
        <v>1.0</v>
      </c>
      <c r="F20" s="46">
        <v>-1.0</v>
      </c>
      <c r="G20" s="46">
        <f t="shared" si="1"/>
        <v>1</v>
      </c>
      <c r="I20" s="51">
        <v>14.0</v>
      </c>
      <c r="J20" s="48">
        <f t="shared" si="3"/>
        <v>7</v>
      </c>
    </row>
    <row r="21" ht="15.75" customHeight="1">
      <c r="A21" s="37" t="s">
        <v>71</v>
      </c>
      <c r="B21" s="46">
        <v>2.0</v>
      </c>
      <c r="C21" s="46">
        <v>0.0</v>
      </c>
      <c r="D21" s="46">
        <v>1.0</v>
      </c>
      <c r="E21" s="46">
        <v>1.0</v>
      </c>
      <c r="F21" s="46">
        <v>-1.0</v>
      </c>
      <c r="G21" s="46">
        <f t="shared" si="1"/>
        <v>1</v>
      </c>
      <c r="I21" s="50">
        <v>25.0</v>
      </c>
      <c r="J21" s="48">
        <f t="shared" si="3"/>
        <v>12.5</v>
      </c>
    </row>
    <row r="22" ht="15.75" customHeight="1">
      <c r="A22" s="37" t="s">
        <v>95</v>
      </c>
      <c r="B22" s="46">
        <v>1.0</v>
      </c>
      <c r="C22" s="46">
        <v>0.0</v>
      </c>
      <c r="D22" s="46">
        <v>0.0</v>
      </c>
      <c r="E22" s="46">
        <v>1.0</v>
      </c>
      <c r="F22" s="46">
        <v>-2.0</v>
      </c>
      <c r="G22" s="46">
        <f t="shared" si="1"/>
        <v>0</v>
      </c>
      <c r="I22" s="50">
        <v>5.0</v>
      </c>
      <c r="J22" s="48">
        <f t="shared" si="3"/>
        <v>5</v>
      </c>
    </row>
    <row r="23" ht="15.75" customHeight="1">
      <c r="A23" s="37" t="s">
        <v>67</v>
      </c>
      <c r="B23" s="46">
        <v>2.0</v>
      </c>
      <c r="C23" s="46">
        <v>0.0</v>
      </c>
      <c r="D23" s="46">
        <v>0.0</v>
      </c>
      <c r="E23" s="46">
        <v>2.0</v>
      </c>
      <c r="F23" s="46">
        <v>-3.0</v>
      </c>
      <c r="G23" s="46">
        <f t="shared" si="1"/>
        <v>0</v>
      </c>
      <c r="I23" s="50">
        <v>12.0</v>
      </c>
      <c r="J23" s="48">
        <f t="shared" si="3"/>
        <v>6</v>
      </c>
    </row>
    <row r="24" ht="15.75" customHeight="1">
      <c r="A24" s="37" t="s">
        <v>70</v>
      </c>
      <c r="B24" s="46">
        <v>2.0</v>
      </c>
      <c r="C24" s="46">
        <v>0.0</v>
      </c>
      <c r="D24" s="46">
        <v>0.0</v>
      </c>
      <c r="E24" s="46">
        <v>2.0</v>
      </c>
      <c r="F24" s="46">
        <v>-5.0</v>
      </c>
      <c r="G24" s="46">
        <f t="shared" si="1"/>
        <v>0</v>
      </c>
      <c r="I24" s="50">
        <v>15.0</v>
      </c>
      <c r="J24" s="48">
        <f t="shared" si="3"/>
        <v>7.5</v>
      </c>
    </row>
    <row r="25" ht="15.75" customHeight="1">
      <c r="A25" s="37" t="s">
        <v>76</v>
      </c>
      <c r="B25" s="46">
        <v>2.0</v>
      </c>
      <c r="C25" s="46">
        <v>0.0</v>
      </c>
      <c r="D25" s="46">
        <v>0.0</v>
      </c>
      <c r="E25" s="46">
        <v>2.0</v>
      </c>
      <c r="F25" s="46">
        <v>-6.0</v>
      </c>
      <c r="G25" s="46">
        <f t="shared" si="1"/>
        <v>0</v>
      </c>
      <c r="I25" s="50">
        <v>25.0</v>
      </c>
      <c r="J25" s="48">
        <f t="shared" si="3"/>
        <v>12.5</v>
      </c>
    </row>
    <row r="26" ht="15.75" customHeight="1">
      <c r="A26" s="37" t="s">
        <v>61</v>
      </c>
      <c r="B26" s="46">
        <v>3.0</v>
      </c>
      <c r="C26" s="46">
        <v>0.0</v>
      </c>
      <c r="D26" s="46">
        <v>0.0</v>
      </c>
      <c r="E26" s="46">
        <v>3.0</v>
      </c>
      <c r="F26" s="46">
        <v>-6.0</v>
      </c>
      <c r="G26" s="46">
        <f t="shared" si="1"/>
        <v>0</v>
      </c>
      <c r="I26" s="50">
        <v>4.0</v>
      </c>
    </row>
    <row r="27" ht="15.75" customHeight="1">
      <c r="A27" s="37" t="s">
        <v>127</v>
      </c>
      <c r="I27" s="50"/>
    </row>
    <row r="28" ht="15.75" customHeight="1">
      <c r="A28" s="37" t="s">
        <v>128</v>
      </c>
      <c r="I28" s="46">
        <v>0.0</v>
      </c>
    </row>
    <row r="29" ht="15.75" customHeight="1">
      <c r="A29" s="37" t="s">
        <v>89</v>
      </c>
    </row>
    <row r="30" ht="15.75" customHeight="1">
      <c r="A30" s="37" t="s">
        <v>87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19.14"/>
    <col customWidth="1" min="2" max="11" width="7.29"/>
    <col customWidth="1" min="12" max="51" width="7.29" outlineLevel="1"/>
    <col customWidth="1" min="52" max="52" width="7.29"/>
    <col customWidth="1" min="53" max="53" width="9.14"/>
    <col customWidth="1" min="54" max="58" width="8.86"/>
  </cols>
  <sheetData>
    <row r="1">
      <c r="A1" s="46" t="s">
        <v>1</v>
      </c>
      <c r="B1" s="46" t="s">
        <v>2</v>
      </c>
      <c r="C1" s="46" t="s">
        <v>3</v>
      </c>
      <c r="D1" s="46" t="s">
        <v>4</v>
      </c>
      <c r="E1" s="46" t="s">
        <v>5</v>
      </c>
      <c r="F1" s="46" t="s">
        <v>6</v>
      </c>
      <c r="G1" s="46" t="s">
        <v>7</v>
      </c>
      <c r="H1" s="46" t="s">
        <v>8</v>
      </c>
      <c r="I1" s="46" t="s">
        <v>9</v>
      </c>
      <c r="J1" s="46" t="s">
        <v>10</v>
      </c>
      <c r="K1" s="46" t="s">
        <v>11</v>
      </c>
      <c r="L1" s="46" t="s">
        <v>12</v>
      </c>
      <c r="M1" s="46" t="s">
        <v>13</v>
      </c>
      <c r="N1" s="46" t="s">
        <v>14</v>
      </c>
      <c r="O1" s="46" t="s">
        <v>15</v>
      </c>
      <c r="P1" s="46" t="s">
        <v>16</v>
      </c>
      <c r="Q1" s="46" t="s">
        <v>17</v>
      </c>
      <c r="R1" s="46" t="s">
        <v>18</v>
      </c>
      <c r="S1" s="46" t="s">
        <v>19</v>
      </c>
      <c r="T1" s="46" t="s">
        <v>20</v>
      </c>
      <c r="U1" s="52" t="s">
        <v>21</v>
      </c>
      <c r="V1" s="46" t="s">
        <v>22</v>
      </c>
      <c r="W1" s="46" t="s">
        <v>23</v>
      </c>
      <c r="X1" s="46" t="s">
        <v>24</v>
      </c>
      <c r="Y1" s="46" t="s">
        <v>25</v>
      </c>
      <c r="Z1" s="4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129</v>
      </c>
      <c r="AZ1" s="6"/>
      <c r="BA1" s="5" t="s">
        <v>130</v>
      </c>
      <c r="BB1" s="5" t="s">
        <v>131</v>
      </c>
      <c r="BC1" s="5" t="s">
        <v>132</v>
      </c>
    </row>
    <row r="2">
      <c r="U2" s="52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5"/>
      <c r="BB2" s="5"/>
      <c r="BC2" s="5"/>
    </row>
    <row r="3">
      <c r="A3" s="14" t="s">
        <v>69</v>
      </c>
      <c r="B3" s="29"/>
      <c r="C3" s="29"/>
      <c r="D3" s="29"/>
      <c r="E3" s="29"/>
      <c r="F3" s="29"/>
      <c r="G3" s="29">
        <v>1.0</v>
      </c>
      <c r="H3" s="29"/>
      <c r="I3" s="29">
        <v>2.0</v>
      </c>
      <c r="J3" s="29"/>
      <c r="K3" s="29"/>
      <c r="L3" s="29">
        <v>1.0</v>
      </c>
      <c r="M3" s="29"/>
      <c r="N3" s="29"/>
      <c r="O3" s="29">
        <v>2.0</v>
      </c>
      <c r="P3" s="29"/>
      <c r="Q3" s="29"/>
      <c r="R3" s="29"/>
      <c r="S3" s="28"/>
      <c r="T3" s="29"/>
      <c r="U3" s="29"/>
      <c r="V3" s="29"/>
      <c r="W3" s="29"/>
      <c r="X3" s="29"/>
      <c r="Y3" s="29">
        <v>2.0</v>
      </c>
      <c r="Z3" s="29"/>
      <c r="AA3" s="29"/>
      <c r="AB3" s="29">
        <v>1.0</v>
      </c>
      <c r="AC3" s="29">
        <v>1.0</v>
      </c>
      <c r="AD3" s="29">
        <v>1.0</v>
      </c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6"/>
      <c r="BA3" s="6">
        <f t="shared" ref="BA3:BA35" si="1">SUM(B3:AY3)</f>
        <v>11</v>
      </c>
      <c r="BB3" s="5">
        <v>3.0</v>
      </c>
      <c r="BC3" s="5">
        <v>1.0</v>
      </c>
    </row>
    <row r="4">
      <c r="A4" s="22" t="s">
        <v>67</v>
      </c>
      <c r="B4" s="29"/>
      <c r="C4" s="29"/>
      <c r="D4" s="29"/>
      <c r="E4" s="29"/>
      <c r="F4" s="29"/>
      <c r="G4" s="29"/>
      <c r="H4" s="29">
        <v>2.0</v>
      </c>
      <c r="I4" s="29"/>
      <c r="J4" s="29">
        <v>1.0</v>
      </c>
      <c r="K4" s="29"/>
      <c r="L4" s="29"/>
      <c r="M4" s="29"/>
      <c r="N4" s="29">
        <v>2.0</v>
      </c>
      <c r="O4" s="29"/>
      <c r="P4" s="29"/>
      <c r="Q4" s="29">
        <v>1.0</v>
      </c>
      <c r="R4" s="29">
        <v>2.0</v>
      </c>
      <c r="S4" s="28"/>
      <c r="T4" s="29"/>
      <c r="U4" s="29"/>
      <c r="V4" s="29"/>
      <c r="W4" s="29"/>
      <c r="X4" s="29"/>
      <c r="Y4" s="29">
        <v>1.0</v>
      </c>
      <c r="Z4" s="29"/>
      <c r="AA4" s="29"/>
      <c r="AB4" s="29"/>
      <c r="AC4" s="29"/>
      <c r="AD4" s="29">
        <v>1.0</v>
      </c>
      <c r="AE4" s="29">
        <v>1.0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6"/>
      <c r="BA4" s="6">
        <f t="shared" si="1"/>
        <v>11</v>
      </c>
      <c r="BB4" s="5">
        <v>3.0</v>
      </c>
      <c r="BC4" s="5">
        <v>1.0</v>
      </c>
    </row>
    <row r="5">
      <c r="A5" s="27" t="s">
        <v>76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8"/>
      <c r="T5" s="29"/>
      <c r="U5" s="29">
        <v>2.0</v>
      </c>
      <c r="V5" s="29">
        <v>2.0</v>
      </c>
      <c r="W5" s="29"/>
      <c r="X5" s="29"/>
      <c r="Y5" s="29"/>
      <c r="Z5" s="29"/>
      <c r="AA5" s="29"/>
      <c r="AB5" s="29">
        <v>2.0</v>
      </c>
      <c r="AC5" s="29"/>
      <c r="AD5" s="29"/>
      <c r="AE5" s="29">
        <v>5.0</v>
      </c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6"/>
      <c r="BA5" s="6">
        <f t="shared" si="1"/>
        <v>11</v>
      </c>
      <c r="BB5" s="5">
        <v>3.0</v>
      </c>
      <c r="BC5" s="5"/>
    </row>
    <row r="6">
      <c r="A6" s="14" t="s">
        <v>68</v>
      </c>
      <c r="B6" s="29"/>
      <c r="C6" s="29"/>
      <c r="D6" s="29"/>
      <c r="E6" s="29">
        <v>1.0</v>
      </c>
      <c r="F6" s="29"/>
      <c r="G6" s="29">
        <v>2.0</v>
      </c>
      <c r="H6" s="29"/>
      <c r="I6" s="29"/>
      <c r="J6" s="29"/>
      <c r="K6" s="29">
        <v>1.0</v>
      </c>
      <c r="L6" s="29"/>
      <c r="M6" s="29"/>
      <c r="N6" s="29"/>
      <c r="O6" s="29"/>
      <c r="P6" s="29"/>
      <c r="Q6" s="29"/>
      <c r="R6" s="29"/>
      <c r="S6" s="28"/>
      <c r="T6" s="29">
        <v>1.0</v>
      </c>
      <c r="U6" s="29">
        <v>1.0</v>
      </c>
      <c r="V6" s="29"/>
      <c r="W6" s="29">
        <v>2.0</v>
      </c>
      <c r="X6" s="29"/>
      <c r="Y6" s="29">
        <v>1.0</v>
      </c>
      <c r="Z6" s="29"/>
      <c r="AA6" s="29"/>
      <c r="AB6" s="29">
        <v>1.0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6"/>
      <c r="BA6" s="6">
        <f t="shared" si="1"/>
        <v>10</v>
      </c>
      <c r="BB6" s="5">
        <v>1.0</v>
      </c>
      <c r="BC6" s="5">
        <v>1.0</v>
      </c>
    </row>
    <row r="7">
      <c r="A7" s="32" t="s">
        <v>64</v>
      </c>
      <c r="B7" s="29"/>
      <c r="C7" s="29">
        <v>1.0</v>
      </c>
      <c r="D7" s="29"/>
      <c r="E7" s="29">
        <v>3.0</v>
      </c>
      <c r="F7" s="29"/>
      <c r="G7" s="29"/>
      <c r="H7" s="29"/>
      <c r="I7" s="29"/>
      <c r="J7" s="29"/>
      <c r="K7" s="29"/>
      <c r="L7" s="29">
        <v>1.0</v>
      </c>
      <c r="M7" s="29"/>
      <c r="N7" s="29"/>
      <c r="O7" s="29"/>
      <c r="P7" s="29"/>
      <c r="Q7" s="29"/>
      <c r="R7" s="29"/>
      <c r="S7" s="28"/>
      <c r="T7" s="29"/>
      <c r="U7" s="29"/>
      <c r="V7" s="29"/>
      <c r="W7" s="29">
        <v>1.0</v>
      </c>
      <c r="X7" s="29"/>
      <c r="Y7" s="29">
        <v>1.0</v>
      </c>
      <c r="Z7" s="29"/>
      <c r="AA7" s="29">
        <v>1.0</v>
      </c>
      <c r="AB7" s="29"/>
      <c r="AC7" s="29">
        <v>1.0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6"/>
      <c r="BA7" s="6">
        <f t="shared" si="1"/>
        <v>9</v>
      </c>
      <c r="BB7" s="5">
        <v>1.0</v>
      </c>
      <c r="BC7" s="5">
        <v>2.0</v>
      </c>
    </row>
    <row r="8">
      <c r="A8" s="32" t="s">
        <v>65</v>
      </c>
      <c r="B8" s="29"/>
      <c r="C8" s="29"/>
      <c r="D8" s="29"/>
      <c r="E8" s="29">
        <v>2.0</v>
      </c>
      <c r="F8" s="29">
        <v>1.0</v>
      </c>
      <c r="G8" s="29"/>
      <c r="H8" s="29">
        <v>1.0</v>
      </c>
      <c r="I8" s="29"/>
      <c r="J8" s="29">
        <v>1.0</v>
      </c>
      <c r="K8" s="29"/>
      <c r="L8" s="29"/>
      <c r="M8" s="29"/>
      <c r="N8" s="29"/>
      <c r="O8" s="29"/>
      <c r="P8" s="29"/>
      <c r="Q8" s="29"/>
      <c r="R8" s="29">
        <v>1.0</v>
      </c>
      <c r="S8" s="28"/>
      <c r="T8" s="29"/>
      <c r="U8" s="29"/>
      <c r="V8" s="29">
        <v>1.0</v>
      </c>
      <c r="W8" s="29"/>
      <c r="X8" s="29"/>
      <c r="Y8" s="29"/>
      <c r="Z8" s="29"/>
      <c r="AA8" s="29">
        <v>1.0</v>
      </c>
      <c r="AB8" s="29"/>
      <c r="AC8" s="29"/>
      <c r="AD8" s="29"/>
      <c r="AE8" s="29">
        <v>1.0</v>
      </c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6"/>
      <c r="BA8" s="6">
        <f t="shared" si="1"/>
        <v>9</v>
      </c>
      <c r="BB8" s="5"/>
      <c r="BC8" s="5">
        <v>1.0</v>
      </c>
    </row>
    <row r="9">
      <c r="A9" s="37" t="s">
        <v>59</v>
      </c>
      <c r="B9" s="29"/>
      <c r="C9" s="29"/>
      <c r="D9" s="29">
        <v>1.0</v>
      </c>
      <c r="E9" s="29"/>
      <c r="F9" s="29"/>
      <c r="G9" s="29"/>
      <c r="H9" s="29">
        <v>1.0</v>
      </c>
      <c r="I9" s="29"/>
      <c r="J9" s="29">
        <v>6.0</v>
      </c>
      <c r="K9" s="29"/>
      <c r="L9" s="29"/>
      <c r="M9" s="29"/>
      <c r="N9" s="29"/>
      <c r="O9" s="29"/>
      <c r="P9" s="29"/>
      <c r="Q9" s="29"/>
      <c r="R9" s="29"/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6"/>
      <c r="BA9" s="6">
        <f t="shared" si="1"/>
        <v>8</v>
      </c>
      <c r="BB9" s="5">
        <v>1.0</v>
      </c>
      <c r="BC9" s="5"/>
    </row>
    <row r="10">
      <c r="A10" s="37" t="s">
        <v>73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>
        <v>1.0</v>
      </c>
      <c r="Q10" s="29"/>
      <c r="R10" s="29"/>
      <c r="S10" s="28"/>
      <c r="T10" s="29"/>
      <c r="U10" s="29"/>
      <c r="V10" s="29">
        <v>3.0</v>
      </c>
      <c r="W10" s="29"/>
      <c r="X10" s="29"/>
      <c r="Y10" s="29"/>
      <c r="Z10" s="29"/>
      <c r="AA10" s="29">
        <v>3.0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6"/>
      <c r="BA10" s="6">
        <f t="shared" si="1"/>
        <v>7</v>
      </c>
      <c r="BB10" s="5">
        <v>2.0</v>
      </c>
      <c r="BC10" s="5">
        <v>1.0</v>
      </c>
    </row>
    <row r="11">
      <c r="A11" s="37" t="s">
        <v>61</v>
      </c>
      <c r="B11" s="29"/>
      <c r="C11" s="29"/>
      <c r="D11" s="29"/>
      <c r="E11" s="29"/>
      <c r="F11" s="29">
        <v>1.0</v>
      </c>
      <c r="G11" s="29"/>
      <c r="H11" s="29"/>
      <c r="I11" s="29">
        <v>1.0</v>
      </c>
      <c r="J11" s="29"/>
      <c r="K11" s="29">
        <v>1.0</v>
      </c>
      <c r="L11" s="29"/>
      <c r="M11" s="29"/>
      <c r="N11" s="29"/>
      <c r="O11" s="29"/>
      <c r="P11" s="29"/>
      <c r="Q11" s="29">
        <v>1.0</v>
      </c>
      <c r="R11" s="29"/>
      <c r="S11" s="28"/>
      <c r="T11" s="29">
        <v>2.0</v>
      </c>
      <c r="U11" s="29"/>
      <c r="V11" s="29"/>
      <c r="W11" s="29"/>
      <c r="X11" s="29"/>
      <c r="Y11" s="29"/>
      <c r="Z11" s="29"/>
      <c r="AA11" s="29"/>
      <c r="AB11" s="29">
        <v>1.0</v>
      </c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6"/>
      <c r="BA11" s="6">
        <f t="shared" si="1"/>
        <v>7</v>
      </c>
      <c r="BB11" s="5">
        <v>1.0</v>
      </c>
      <c r="BC11" s="5">
        <v>2.0</v>
      </c>
    </row>
    <row r="12">
      <c r="A12" s="37" t="s">
        <v>75</v>
      </c>
      <c r="B12" s="29"/>
      <c r="C12" s="29"/>
      <c r="D12" s="29"/>
      <c r="E12" s="29"/>
      <c r="F12" s="29"/>
      <c r="G12" s="29"/>
      <c r="H12" s="29"/>
      <c r="I12" s="29"/>
      <c r="J12" s="29"/>
      <c r="K12" s="29">
        <v>2.0</v>
      </c>
      <c r="L12" s="29"/>
      <c r="M12" s="29">
        <v>2.0</v>
      </c>
      <c r="N12" s="29"/>
      <c r="O12" s="29"/>
      <c r="P12" s="29"/>
      <c r="Q12" s="29"/>
      <c r="R12" s="29"/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>
        <v>1.0</v>
      </c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6"/>
      <c r="BA12" s="6">
        <f t="shared" si="1"/>
        <v>5</v>
      </c>
      <c r="BB12" s="5">
        <v>2.0</v>
      </c>
      <c r="BC12" s="5"/>
      <c r="BF12" s="6"/>
    </row>
    <row r="13">
      <c r="A13" s="37" t="s">
        <v>60</v>
      </c>
      <c r="B13" s="29"/>
      <c r="C13" s="29"/>
      <c r="D13" s="29"/>
      <c r="E13" s="29"/>
      <c r="F13" s="29"/>
      <c r="G13" s="29"/>
      <c r="H13" s="29">
        <v>1.0</v>
      </c>
      <c r="I13" s="29"/>
      <c r="J13" s="29"/>
      <c r="K13" s="29"/>
      <c r="L13" s="29"/>
      <c r="M13" s="29"/>
      <c r="N13" s="29">
        <v>1.0</v>
      </c>
      <c r="O13" s="29">
        <v>1.0</v>
      </c>
      <c r="P13" s="29"/>
      <c r="Q13" s="29">
        <v>1.0</v>
      </c>
      <c r="R13" s="29"/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>
        <v>1.0</v>
      </c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6"/>
      <c r="BA13" s="6">
        <f t="shared" si="1"/>
        <v>5</v>
      </c>
      <c r="BB13" s="5"/>
      <c r="BC13" s="5">
        <v>1.0</v>
      </c>
    </row>
    <row r="14">
      <c r="A14" s="37" t="s">
        <v>79</v>
      </c>
      <c r="B14" s="29"/>
      <c r="C14" s="29"/>
      <c r="D14" s="29">
        <v>1.0</v>
      </c>
      <c r="E14" s="29"/>
      <c r="F14" s="29"/>
      <c r="G14" s="29"/>
      <c r="H14" s="29"/>
      <c r="I14" s="29">
        <v>1.0</v>
      </c>
      <c r="J14" s="29"/>
      <c r="K14" s="29"/>
      <c r="L14" s="29"/>
      <c r="M14" s="29"/>
      <c r="N14" s="29"/>
      <c r="O14" s="29"/>
      <c r="P14" s="29"/>
      <c r="Q14" s="29"/>
      <c r="R14" s="29"/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>
        <v>2.0</v>
      </c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6"/>
      <c r="BA14" s="6">
        <f t="shared" si="1"/>
        <v>4</v>
      </c>
      <c r="BB14" s="5">
        <v>1.0</v>
      </c>
      <c r="BC14" s="5"/>
    </row>
    <row r="15">
      <c r="A15" s="37" t="s">
        <v>62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8"/>
      <c r="T15" s="29"/>
      <c r="U15" s="29"/>
      <c r="V15" s="29"/>
      <c r="W15" s="29">
        <v>1.0</v>
      </c>
      <c r="X15" s="29"/>
      <c r="Y15" s="29"/>
      <c r="Z15" s="29"/>
      <c r="AA15" s="29"/>
      <c r="AB15" s="29">
        <v>1.0</v>
      </c>
      <c r="AC15" s="29"/>
      <c r="AD15" s="29">
        <v>2.0</v>
      </c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6"/>
      <c r="BA15" s="6">
        <f t="shared" si="1"/>
        <v>4</v>
      </c>
      <c r="BB15" s="5"/>
      <c r="BC15" s="5">
        <v>1.0</v>
      </c>
    </row>
    <row r="16">
      <c r="A16" s="37" t="s">
        <v>71</v>
      </c>
      <c r="B16" s="29"/>
      <c r="C16" s="29">
        <v>1.0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>
        <v>2.0</v>
      </c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6"/>
      <c r="BA16" s="6">
        <f t="shared" si="1"/>
        <v>3</v>
      </c>
      <c r="BB16" s="5"/>
      <c r="BC16" s="5">
        <v>2.0</v>
      </c>
    </row>
    <row r="17">
      <c r="A17" s="37" t="s">
        <v>70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>
        <v>1.0</v>
      </c>
      <c r="M17" s="29">
        <v>1.0</v>
      </c>
      <c r="N17" s="29"/>
      <c r="O17" s="29"/>
      <c r="P17" s="29"/>
      <c r="Q17" s="29">
        <v>1.0</v>
      </c>
      <c r="R17" s="29"/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6"/>
      <c r="BA17" s="6">
        <f t="shared" si="1"/>
        <v>3</v>
      </c>
      <c r="BB17" s="5"/>
      <c r="BC17" s="5">
        <v>1.0</v>
      </c>
    </row>
    <row r="18">
      <c r="A18" s="37" t="s">
        <v>77</v>
      </c>
      <c r="B18" s="29"/>
      <c r="C18" s="29"/>
      <c r="D18" s="29">
        <v>1.0</v>
      </c>
      <c r="E18" s="29"/>
      <c r="F18" s="29"/>
      <c r="G18" s="29"/>
      <c r="H18" s="29">
        <v>1.0</v>
      </c>
      <c r="I18" s="29">
        <v>1.0</v>
      </c>
      <c r="J18" s="29"/>
      <c r="K18" s="29"/>
      <c r="L18" s="29"/>
      <c r="M18" s="29"/>
      <c r="N18" s="29"/>
      <c r="O18" s="29"/>
      <c r="P18" s="29"/>
      <c r="Q18" s="29"/>
      <c r="R18" s="29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6"/>
      <c r="BA18" s="6">
        <f t="shared" si="1"/>
        <v>3</v>
      </c>
      <c r="BB18" s="5"/>
      <c r="BC18" s="5"/>
      <c r="BF18" s="6"/>
    </row>
    <row r="19">
      <c r="A19" s="37" t="s">
        <v>66</v>
      </c>
      <c r="B19" s="29"/>
      <c r="C19" s="29"/>
      <c r="D19" s="29">
        <v>1.0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v>1.0</v>
      </c>
      <c r="S19" s="28"/>
      <c r="T19" s="29"/>
      <c r="U19" s="29">
        <v>1.0</v>
      </c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6"/>
      <c r="BA19" s="6">
        <f t="shared" si="1"/>
        <v>3</v>
      </c>
      <c r="BB19" s="5"/>
      <c r="BC19" s="5"/>
    </row>
    <row r="20">
      <c r="A20" s="37" t="s">
        <v>87</v>
      </c>
      <c r="B20" s="29"/>
      <c r="C20" s="29"/>
      <c r="D20" s="29">
        <v>2.0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6"/>
      <c r="BA20" s="6">
        <f t="shared" si="1"/>
        <v>2</v>
      </c>
      <c r="BB20" s="5">
        <v>1.0</v>
      </c>
      <c r="BC20" s="5"/>
    </row>
    <row r="21" ht="15.75" customHeight="1">
      <c r="A21" s="37" t="s">
        <v>63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>
        <v>1.0</v>
      </c>
      <c r="M21" s="29"/>
      <c r="N21" s="29"/>
      <c r="O21" s="29"/>
      <c r="P21" s="29">
        <v>1.0</v>
      </c>
      <c r="Q21" s="29"/>
      <c r="R21" s="29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6"/>
      <c r="BA21" s="6">
        <f t="shared" si="1"/>
        <v>2</v>
      </c>
      <c r="BB21" s="5"/>
      <c r="BC21" s="5">
        <v>2.0</v>
      </c>
    </row>
    <row r="22" ht="15.75" customHeight="1">
      <c r="A22" s="37" t="s">
        <v>74</v>
      </c>
      <c r="B22" s="29"/>
      <c r="C22" s="29"/>
      <c r="D22" s="29"/>
      <c r="E22" s="29"/>
      <c r="F22" s="29">
        <v>1.0</v>
      </c>
      <c r="G22" s="29"/>
      <c r="H22" s="29"/>
      <c r="I22" s="29">
        <v>1.0</v>
      </c>
      <c r="J22" s="29"/>
      <c r="K22" s="29"/>
      <c r="L22" s="29"/>
      <c r="M22" s="29"/>
      <c r="N22" s="29"/>
      <c r="O22" s="29"/>
      <c r="P22" s="29"/>
      <c r="Q22" s="29"/>
      <c r="R22" s="29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6"/>
      <c r="BA22" s="6">
        <f t="shared" si="1"/>
        <v>2</v>
      </c>
      <c r="BB22" s="5"/>
      <c r="BC22" s="5">
        <v>1.0</v>
      </c>
    </row>
    <row r="23" ht="15.75" customHeight="1">
      <c r="A23" s="37" t="s">
        <v>89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8"/>
      <c r="T23" s="29"/>
      <c r="U23" s="29"/>
      <c r="V23" s="29"/>
      <c r="W23" s="29">
        <v>2.0</v>
      </c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6"/>
      <c r="BA23" s="6">
        <f t="shared" si="1"/>
        <v>2</v>
      </c>
      <c r="BB23" s="5"/>
      <c r="BC23" s="5">
        <v>1.0</v>
      </c>
    </row>
    <row r="24" ht="15.75" customHeight="1">
      <c r="A24" s="37" t="s">
        <v>83</v>
      </c>
      <c r="B24" s="29"/>
      <c r="C24" s="29"/>
      <c r="D24" s="29"/>
      <c r="E24" s="29">
        <v>1.0</v>
      </c>
      <c r="F24" s="29"/>
      <c r="G24" s="29"/>
      <c r="H24" s="29"/>
      <c r="I24" s="29"/>
      <c r="J24" s="29"/>
      <c r="K24" s="29">
        <v>1.0</v>
      </c>
      <c r="L24" s="29"/>
      <c r="M24" s="29"/>
      <c r="N24" s="29"/>
      <c r="O24" s="29"/>
      <c r="P24" s="29"/>
      <c r="Q24" s="29"/>
      <c r="R24" s="29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6"/>
      <c r="BA24" s="6">
        <f t="shared" si="1"/>
        <v>2</v>
      </c>
      <c r="BB24" s="5"/>
      <c r="BC24" s="5"/>
    </row>
    <row r="25" ht="15.75" customHeight="1">
      <c r="A25" s="37" t="s">
        <v>128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v>1.0</v>
      </c>
      <c r="S25" s="28"/>
      <c r="T25" s="29">
        <v>1.0</v>
      </c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6"/>
      <c r="BA25" s="6">
        <f t="shared" si="1"/>
        <v>2</v>
      </c>
      <c r="BB25" s="5"/>
      <c r="BC25" s="5"/>
    </row>
    <row r="26" ht="15.75" customHeight="1">
      <c r="A26" s="37" t="s">
        <v>127</v>
      </c>
      <c r="B26" s="29"/>
      <c r="C26" s="29">
        <v>1.0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8"/>
      <c r="T26" s="29"/>
      <c r="U26" s="53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6"/>
      <c r="BA26" s="6">
        <f t="shared" si="1"/>
        <v>1</v>
      </c>
      <c r="BB26" s="5"/>
      <c r="BC26" s="5">
        <v>1.0</v>
      </c>
    </row>
    <row r="27" ht="15.75" customHeight="1">
      <c r="A27" s="37" t="s">
        <v>133</v>
      </c>
      <c r="B27" s="29"/>
      <c r="C27" s="29">
        <v>1.0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8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6"/>
      <c r="BA27" s="6">
        <f t="shared" si="1"/>
        <v>1</v>
      </c>
      <c r="BB27" s="5"/>
      <c r="BC27" s="5">
        <v>1.0</v>
      </c>
    </row>
    <row r="28" ht="15.75" customHeight="1">
      <c r="A28" s="37" t="s">
        <v>80</v>
      </c>
      <c r="B28" s="29"/>
      <c r="C28" s="29">
        <v>1.0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6"/>
      <c r="BA28" s="6">
        <f t="shared" si="1"/>
        <v>1</v>
      </c>
      <c r="BB28" s="5"/>
      <c r="BC28" s="5">
        <v>1.0</v>
      </c>
    </row>
    <row r="29" ht="15.75" customHeight="1">
      <c r="A29" s="37" t="s">
        <v>82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>
        <v>1.0</v>
      </c>
      <c r="O29" s="29"/>
      <c r="P29" s="29"/>
      <c r="Q29" s="29"/>
      <c r="R29" s="29"/>
      <c r="S29" s="28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6"/>
      <c r="BA29" s="6">
        <f t="shared" si="1"/>
        <v>1</v>
      </c>
      <c r="BB29" s="5"/>
      <c r="BC29" s="5"/>
    </row>
    <row r="30" ht="15.75" customHeight="1">
      <c r="A30" s="37" t="s">
        <v>81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>
        <v>1.0</v>
      </c>
      <c r="N30" s="29"/>
      <c r="O30" s="29"/>
      <c r="P30" s="29"/>
      <c r="Q30" s="29"/>
      <c r="R30" s="29"/>
      <c r="S30" s="28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6"/>
      <c r="BA30" s="6">
        <f t="shared" si="1"/>
        <v>1</v>
      </c>
      <c r="BB30" s="5"/>
      <c r="BC30" s="5"/>
    </row>
    <row r="31" ht="15.75" customHeight="1">
      <c r="A31" s="37" t="s">
        <v>95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8"/>
      <c r="T31" s="29"/>
      <c r="U31" s="53"/>
      <c r="V31" s="29"/>
      <c r="W31" s="29"/>
      <c r="X31" s="29"/>
      <c r="Y31" s="29">
        <v>1.0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6"/>
      <c r="BA31" s="6">
        <f t="shared" si="1"/>
        <v>1</v>
      </c>
      <c r="BB31" s="5"/>
      <c r="BC31" s="5"/>
    </row>
    <row r="32" ht="15.75" customHeight="1">
      <c r="A32" s="37" t="s">
        <v>84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8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>
        <v>1.0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6"/>
      <c r="BA32" s="6">
        <f t="shared" si="1"/>
        <v>1</v>
      </c>
      <c r="BB32" s="5"/>
      <c r="BC32" s="5"/>
    </row>
    <row r="33" ht="15.75" customHeight="1">
      <c r="A33" s="37" t="s">
        <v>72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8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6"/>
      <c r="BA33" s="6">
        <f t="shared" si="1"/>
        <v>0</v>
      </c>
      <c r="BB33" s="5"/>
      <c r="BC33" s="5"/>
    </row>
    <row r="34" ht="15.75" customHeight="1">
      <c r="A34" s="37" t="s">
        <v>88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6"/>
      <c r="BA34" s="6">
        <f t="shared" si="1"/>
        <v>0</v>
      </c>
      <c r="BB34" s="5"/>
      <c r="BC34" s="5"/>
    </row>
    <row r="35" ht="15.75" customHeight="1">
      <c r="A35" s="37" t="s">
        <v>78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8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6"/>
      <c r="BA35" s="6">
        <f t="shared" si="1"/>
        <v>0</v>
      </c>
      <c r="BB35" s="5"/>
      <c r="BC35" s="5"/>
    </row>
    <row r="36" ht="15.75" customHeight="1">
      <c r="A36" s="54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6"/>
      <c r="BA36" s="6"/>
      <c r="BB36" s="5"/>
      <c r="BC36" s="5"/>
    </row>
    <row r="37" ht="15.75" customHeight="1">
      <c r="U37" s="52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5"/>
      <c r="BB37" s="5"/>
      <c r="BC37" s="5"/>
    </row>
    <row r="38" ht="15.75" customHeight="1">
      <c r="A38" s="46" t="s">
        <v>96</v>
      </c>
      <c r="B38" s="46">
        <f>'League Table'!B42</f>
        <v>0</v>
      </c>
      <c r="C38" s="46">
        <f>'League Table'!C42</f>
        <v>18</v>
      </c>
      <c r="D38" s="46">
        <f>'League Table'!D42</f>
        <v>14</v>
      </c>
      <c r="E38" s="46">
        <f>'League Table'!E42</f>
        <v>18</v>
      </c>
      <c r="F38" s="46">
        <f>'League Table'!F42</f>
        <v>12</v>
      </c>
      <c r="G38" s="46">
        <f>'League Table'!G42</f>
        <v>12</v>
      </c>
      <c r="H38" s="46">
        <f>'League Table'!H42</f>
        <v>14</v>
      </c>
      <c r="I38" s="46">
        <f>'League Table'!I42</f>
        <v>20</v>
      </c>
      <c r="J38" s="46">
        <f>'League Table'!J42</f>
        <v>16</v>
      </c>
      <c r="K38" s="46">
        <f>'League Table'!K42</f>
        <v>18</v>
      </c>
      <c r="L38" s="46">
        <f>'League Table'!L42</f>
        <v>15</v>
      </c>
      <c r="M38" s="46">
        <f>'League Table'!M42</f>
        <v>17</v>
      </c>
      <c r="N38" s="46">
        <f>'League Table'!N42</f>
        <v>17</v>
      </c>
      <c r="O38" s="46">
        <f>'League Table'!O42</f>
        <v>16</v>
      </c>
      <c r="P38" s="46">
        <f>'League Table'!P42</f>
        <v>14</v>
      </c>
      <c r="Q38" s="46">
        <f>'League Table'!Q42</f>
        <v>15</v>
      </c>
      <c r="R38" s="46">
        <f>'League Table'!R42</f>
        <v>12</v>
      </c>
      <c r="S38" s="46">
        <f>'League Table'!S42</f>
        <v>0</v>
      </c>
      <c r="T38" s="46">
        <f>'League Table'!T42</f>
        <v>13</v>
      </c>
      <c r="U38" s="52">
        <f>'League Table'!U42</f>
        <v>9</v>
      </c>
      <c r="V38" s="46">
        <f>'League Table'!V42</f>
        <v>16</v>
      </c>
      <c r="W38" s="46">
        <f>'League Table'!W42</f>
        <v>16</v>
      </c>
      <c r="X38" s="46">
        <f>'League Table'!X42</f>
        <v>0</v>
      </c>
      <c r="Y38" s="46">
        <f>'League Table'!Y42</f>
        <v>18</v>
      </c>
      <c r="Z38" s="46">
        <f>'League Table'!Z42</f>
        <v>0</v>
      </c>
      <c r="AA38" s="46">
        <f>'League Table'!AA42</f>
        <v>14</v>
      </c>
      <c r="AB38" s="46">
        <f>'League Table'!AB42</f>
        <v>19</v>
      </c>
      <c r="AC38" s="46">
        <f>'League Table'!AC42</f>
        <v>17</v>
      </c>
      <c r="AD38" s="46">
        <f>'League Table'!AD42</f>
        <v>20</v>
      </c>
      <c r="AE38" s="46">
        <f>'League Table'!AE42</f>
        <v>20</v>
      </c>
      <c r="AF38" s="46">
        <f>'League Table'!AF42</f>
        <v>16</v>
      </c>
      <c r="AG38" s="5">
        <f>'League Table'!AG42</f>
        <v>0</v>
      </c>
      <c r="AH38" s="5">
        <f>'League Table'!AH42</f>
        <v>0</v>
      </c>
      <c r="AI38" s="5">
        <f>'League Table'!AI42</f>
        <v>0</v>
      </c>
      <c r="AJ38" s="5">
        <f>'League Table'!AJ42</f>
        <v>0</v>
      </c>
      <c r="AK38" s="5">
        <f>'League Table'!AK42</f>
        <v>0</v>
      </c>
      <c r="AL38" s="5">
        <f>'League Table'!AL42</f>
        <v>0</v>
      </c>
      <c r="AM38" s="5">
        <f>'League Table'!AM42</f>
        <v>0</v>
      </c>
      <c r="AN38" s="5">
        <f>'League Table'!AN42</f>
        <v>0</v>
      </c>
      <c r="AO38" s="5">
        <f>'League Table'!AO42</f>
        <v>0</v>
      </c>
      <c r="AP38" s="5">
        <f>'League Table'!AP42</f>
        <v>0</v>
      </c>
      <c r="AQ38" s="5">
        <f>'League Table'!AQ42</f>
        <v>0</v>
      </c>
      <c r="AR38" s="5">
        <f>'League Table'!AR42</f>
        <v>0</v>
      </c>
      <c r="AS38" s="5">
        <f>'League Table'!AS42</f>
        <v>0</v>
      </c>
      <c r="AT38" s="5">
        <f>'League Table'!AT42</f>
        <v>0</v>
      </c>
      <c r="AU38" s="5">
        <f>'League Table'!AU42</f>
        <v>0</v>
      </c>
      <c r="AV38" s="5">
        <f>'League Table'!AV42</f>
        <v>0</v>
      </c>
      <c r="AW38" s="5"/>
      <c r="AX38" s="5"/>
      <c r="AY38" s="5"/>
      <c r="AZ38" s="5"/>
      <c r="BA38" s="5"/>
      <c r="BB38" s="5"/>
      <c r="BC38" s="5"/>
    </row>
    <row r="39" ht="15.75" customHeight="1">
      <c r="U39" s="52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5"/>
      <c r="BB39" s="5"/>
      <c r="BC39" s="5"/>
    </row>
    <row r="40" ht="15.75" customHeight="1">
      <c r="A40" s="46" t="s">
        <v>134</v>
      </c>
      <c r="B40" s="46">
        <f t="shared" ref="B40:AV40" si="2">SUM(B3:B36)</f>
        <v>0</v>
      </c>
      <c r="C40" s="46">
        <f t="shared" si="2"/>
        <v>5</v>
      </c>
      <c r="D40" s="46">
        <f t="shared" si="2"/>
        <v>6</v>
      </c>
      <c r="E40" s="46">
        <f t="shared" si="2"/>
        <v>7</v>
      </c>
      <c r="F40" s="46">
        <f t="shared" si="2"/>
        <v>3</v>
      </c>
      <c r="G40" s="46">
        <f t="shared" si="2"/>
        <v>3</v>
      </c>
      <c r="H40" s="46">
        <f t="shared" si="2"/>
        <v>6</v>
      </c>
      <c r="I40" s="46">
        <f t="shared" si="2"/>
        <v>6</v>
      </c>
      <c r="J40" s="46">
        <f t="shared" si="2"/>
        <v>8</v>
      </c>
      <c r="K40" s="46">
        <f t="shared" si="2"/>
        <v>5</v>
      </c>
      <c r="L40" s="46">
        <f t="shared" si="2"/>
        <v>4</v>
      </c>
      <c r="M40" s="46">
        <f t="shared" si="2"/>
        <v>4</v>
      </c>
      <c r="N40" s="46">
        <f t="shared" si="2"/>
        <v>4</v>
      </c>
      <c r="O40" s="46">
        <f t="shared" si="2"/>
        <v>3</v>
      </c>
      <c r="P40" s="46">
        <f t="shared" si="2"/>
        <v>2</v>
      </c>
      <c r="Q40" s="46">
        <f t="shared" si="2"/>
        <v>4</v>
      </c>
      <c r="R40" s="46">
        <f t="shared" si="2"/>
        <v>5</v>
      </c>
      <c r="S40" s="46">
        <f t="shared" si="2"/>
        <v>0</v>
      </c>
      <c r="T40" s="46">
        <f t="shared" si="2"/>
        <v>4</v>
      </c>
      <c r="U40" s="52">
        <f t="shared" si="2"/>
        <v>4</v>
      </c>
      <c r="V40" s="46">
        <f t="shared" si="2"/>
        <v>6</v>
      </c>
      <c r="W40" s="46">
        <f t="shared" si="2"/>
        <v>6</v>
      </c>
      <c r="X40" s="46">
        <f t="shared" si="2"/>
        <v>0</v>
      </c>
      <c r="Y40" s="46">
        <f t="shared" si="2"/>
        <v>6</v>
      </c>
      <c r="Z40" s="46">
        <f t="shared" si="2"/>
        <v>0</v>
      </c>
      <c r="AA40" s="55">
        <f t="shared" si="2"/>
        <v>5</v>
      </c>
      <c r="AB40" s="5">
        <f t="shared" si="2"/>
        <v>6</v>
      </c>
      <c r="AC40" s="6">
        <f t="shared" si="2"/>
        <v>5</v>
      </c>
      <c r="AD40" s="6">
        <f t="shared" si="2"/>
        <v>7</v>
      </c>
      <c r="AE40" s="6">
        <f t="shared" si="2"/>
        <v>8</v>
      </c>
      <c r="AF40" s="6">
        <f t="shared" si="2"/>
        <v>0</v>
      </c>
      <c r="AG40" s="6">
        <f t="shared" si="2"/>
        <v>0</v>
      </c>
      <c r="AH40" s="6">
        <f t="shared" si="2"/>
        <v>0</v>
      </c>
      <c r="AI40" s="6">
        <f t="shared" si="2"/>
        <v>0</v>
      </c>
      <c r="AJ40" s="6">
        <f t="shared" si="2"/>
        <v>0</v>
      </c>
      <c r="AK40" s="6">
        <f t="shared" si="2"/>
        <v>0</v>
      </c>
      <c r="AL40" s="6">
        <f t="shared" si="2"/>
        <v>0</v>
      </c>
      <c r="AM40" s="6">
        <f t="shared" si="2"/>
        <v>0</v>
      </c>
      <c r="AN40" s="6">
        <f t="shared" si="2"/>
        <v>0</v>
      </c>
      <c r="AO40" s="6">
        <f t="shared" si="2"/>
        <v>0</v>
      </c>
      <c r="AP40" s="6">
        <f t="shared" si="2"/>
        <v>0</v>
      </c>
      <c r="AQ40" s="6">
        <f t="shared" si="2"/>
        <v>0</v>
      </c>
      <c r="AR40" s="6">
        <f t="shared" si="2"/>
        <v>0</v>
      </c>
      <c r="AS40" s="6">
        <f t="shared" si="2"/>
        <v>0</v>
      </c>
      <c r="AT40" s="6">
        <f t="shared" si="2"/>
        <v>0</v>
      </c>
      <c r="AU40" s="6">
        <f t="shared" si="2"/>
        <v>0</v>
      </c>
      <c r="AV40" s="6">
        <f t="shared" si="2"/>
        <v>0</v>
      </c>
      <c r="AW40" s="6"/>
      <c r="AX40" s="6"/>
      <c r="AY40" s="6"/>
      <c r="AZ40" s="6"/>
      <c r="BA40" s="5"/>
      <c r="BB40" s="5"/>
      <c r="BC40" s="5"/>
    </row>
    <row r="41" ht="15.75" customHeight="1">
      <c r="U41" s="52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5"/>
      <c r="BB41" s="5"/>
      <c r="BC41" s="5"/>
    </row>
    <row r="42" ht="15.75" customHeight="1">
      <c r="U42" s="52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5"/>
      <c r="BB42" s="5"/>
      <c r="BC42" s="5"/>
    </row>
    <row r="43" ht="15.75" customHeight="1">
      <c r="U43" s="52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5"/>
      <c r="BB43" s="5"/>
      <c r="BC43" s="5"/>
    </row>
    <row r="44" ht="15.75" customHeight="1">
      <c r="U44" s="52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5"/>
      <c r="BB44" s="5"/>
      <c r="BC44" s="5"/>
    </row>
    <row r="45" ht="15.75" customHeight="1">
      <c r="U45" s="52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5"/>
      <c r="BB45" s="5"/>
      <c r="BC45" s="5"/>
    </row>
    <row r="46" ht="15.75" customHeight="1">
      <c r="U46" s="52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5"/>
      <c r="BB46" s="5"/>
      <c r="BC46" s="5"/>
    </row>
    <row r="47" ht="15.75" customHeight="1">
      <c r="U47" s="52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5"/>
      <c r="BB47" s="5"/>
      <c r="BC47" s="5"/>
    </row>
    <row r="48" ht="15.75" customHeight="1">
      <c r="U48" s="52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5"/>
      <c r="BB48" s="5"/>
      <c r="BC48" s="5"/>
    </row>
    <row r="49" ht="15.75" customHeight="1">
      <c r="U49" s="52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5"/>
      <c r="BB49" s="5"/>
      <c r="BC49" s="5"/>
    </row>
    <row r="50" ht="15.75" customHeight="1">
      <c r="U50" s="52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5"/>
      <c r="BB50" s="5"/>
      <c r="BC50" s="5"/>
    </row>
    <row r="51" ht="15.75" customHeight="1">
      <c r="U51" s="52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5"/>
      <c r="BB51" s="5"/>
      <c r="BC51" s="5"/>
    </row>
    <row r="52" ht="15.75" customHeight="1">
      <c r="U52" s="52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5"/>
      <c r="BB52" s="5"/>
      <c r="BC52" s="5"/>
    </row>
    <row r="53" ht="15.75" customHeight="1">
      <c r="U53" s="52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5"/>
      <c r="BB53" s="5"/>
      <c r="BC53" s="5"/>
    </row>
    <row r="54" ht="15.75" customHeight="1">
      <c r="U54" s="52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5"/>
      <c r="BB54" s="5"/>
      <c r="BC54" s="5"/>
    </row>
    <row r="55" ht="15.75" customHeight="1">
      <c r="U55" s="52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5"/>
      <c r="BB55" s="5"/>
      <c r="BC55" s="5"/>
    </row>
    <row r="56" ht="15.75" customHeight="1">
      <c r="U56" s="52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5"/>
      <c r="BB56" s="5"/>
      <c r="BC56" s="5"/>
    </row>
    <row r="57" ht="15.75" customHeight="1">
      <c r="U57" s="52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5"/>
      <c r="BB57" s="5"/>
      <c r="BC57" s="5"/>
    </row>
    <row r="58" ht="15.75" customHeight="1">
      <c r="U58" s="52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5"/>
      <c r="BB58" s="5"/>
      <c r="BC58" s="5"/>
    </row>
    <row r="59" ht="15.75" customHeight="1">
      <c r="U59" s="52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5"/>
      <c r="BB59" s="5"/>
      <c r="BC59" s="5"/>
    </row>
    <row r="60" ht="15.75" customHeight="1">
      <c r="U60" s="52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5"/>
      <c r="BB60" s="5"/>
      <c r="BC60" s="5"/>
    </row>
    <row r="61" ht="15.75" customHeight="1">
      <c r="U61" s="52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5"/>
      <c r="BB61" s="5"/>
      <c r="BC61" s="5"/>
    </row>
    <row r="62" ht="15.75" customHeight="1">
      <c r="U62" s="52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5"/>
      <c r="BB62" s="5"/>
      <c r="BC62" s="5"/>
    </row>
    <row r="63" ht="15.75" customHeight="1">
      <c r="U63" s="52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5"/>
      <c r="BB63" s="5"/>
      <c r="BC63" s="5"/>
    </row>
    <row r="64" ht="15.75" customHeight="1">
      <c r="U64" s="52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5"/>
      <c r="BB64" s="5"/>
      <c r="BC64" s="5"/>
    </row>
    <row r="65" ht="15.75" customHeight="1">
      <c r="U65" s="52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5"/>
      <c r="BB65" s="5"/>
      <c r="BC65" s="5"/>
    </row>
    <row r="66" ht="15.75" customHeight="1">
      <c r="U66" s="52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5"/>
      <c r="BB66" s="5"/>
      <c r="BC66" s="5"/>
    </row>
    <row r="67" ht="15.75" customHeight="1">
      <c r="U67" s="52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5"/>
      <c r="BB67" s="5"/>
      <c r="BC67" s="5"/>
    </row>
    <row r="68" ht="15.75" customHeight="1">
      <c r="U68" s="52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5"/>
      <c r="BB68" s="5"/>
      <c r="BC68" s="5"/>
    </row>
    <row r="69" ht="15.75" customHeight="1">
      <c r="U69" s="52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5"/>
      <c r="BB69" s="5"/>
      <c r="BC69" s="5"/>
    </row>
    <row r="70" ht="15.75" customHeight="1">
      <c r="U70" s="52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5"/>
      <c r="BB70" s="5"/>
      <c r="BC70" s="5"/>
    </row>
    <row r="71" ht="15.75" customHeight="1">
      <c r="U71" s="52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5"/>
      <c r="BB71" s="5"/>
      <c r="BC71" s="5"/>
    </row>
    <row r="72" ht="15.75" customHeight="1">
      <c r="U72" s="52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5"/>
      <c r="BB72" s="5"/>
      <c r="BC72" s="5"/>
    </row>
    <row r="73" ht="15.75" customHeight="1">
      <c r="U73" s="52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5"/>
      <c r="BB73" s="5"/>
      <c r="BC73" s="5"/>
    </row>
    <row r="74" ht="15.75" customHeight="1">
      <c r="U74" s="52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5"/>
      <c r="BB74" s="5"/>
      <c r="BC74" s="5"/>
    </row>
    <row r="75" ht="15.75" customHeight="1">
      <c r="U75" s="52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5"/>
      <c r="BB75" s="5"/>
      <c r="BC75" s="5"/>
    </row>
    <row r="76" ht="15.75" customHeight="1">
      <c r="U76" s="52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5"/>
      <c r="BB76" s="5"/>
      <c r="BC76" s="5"/>
    </row>
    <row r="77" ht="15.75" customHeight="1">
      <c r="U77" s="52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5"/>
      <c r="BB77" s="5"/>
      <c r="BC77" s="5"/>
    </row>
    <row r="78" ht="15.75" customHeight="1">
      <c r="U78" s="52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5"/>
      <c r="BB78" s="5"/>
      <c r="BC78" s="5"/>
    </row>
    <row r="79" ht="15.75" customHeight="1">
      <c r="U79" s="52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5"/>
      <c r="BB79" s="5"/>
      <c r="BC79" s="5"/>
    </row>
    <row r="80" ht="15.75" customHeight="1">
      <c r="U80" s="52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5"/>
      <c r="BB80" s="5"/>
      <c r="BC80" s="5"/>
    </row>
    <row r="81" ht="15.75" customHeight="1">
      <c r="U81" s="52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5"/>
      <c r="BB81" s="5"/>
      <c r="BC81" s="5"/>
    </row>
    <row r="82" ht="15.75" customHeight="1">
      <c r="U82" s="52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5"/>
      <c r="BB82" s="5"/>
      <c r="BC82" s="5"/>
    </row>
    <row r="83" ht="15.75" customHeight="1">
      <c r="U83" s="52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5"/>
      <c r="BB83" s="5"/>
      <c r="BC83" s="5"/>
    </row>
    <row r="84" ht="15.75" customHeight="1">
      <c r="U84" s="52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5"/>
      <c r="BB84" s="5"/>
      <c r="BC84" s="5"/>
    </row>
    <row r="85" ht="15.75" customHeight="1">
      <c r="U85" s="52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5"/>
      <c r="BB85" s="5"/>
      <c r="BC85" s="5"/>
    </row>
    <row r="86" ht="15.75" customHeight="1">
      <c r="U86" s="52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5"/>
      <c r="BB86" s="5"/>
      <c r="BC86" s="5"/>
    </row>
    <row r="87" ht="15.75" customHeight="1">
      <c r="U87" s="52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5"/>
      <c r="BB87" s="5"/>
      <c r="BC87" s="5"/>
    </row>
    <row r="88" ht="15.75" customHeight="1">
      <c r="U88" s="52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5"/>
      <c r="BB88" s="5"/>
      <c r="BC88" s="5"/>
    </row>
    <row r="89" ht="15.75" customHeight="1">
      <c r="U89" s="52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5"/>
      <c r="BB89" s="5"/>
      <c r="BC89" s="5"/>
    </row>
    <row r="90" ht="15.75" customHeight="1">
      <c r="U90" s="52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5"/>
      <c r="BB90" s="5"/>
      <c r="BC90" s="5"/>
    </row>
    <row r="91" ht="15.75" customHeight="1">
      <c r="U91" s="52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5"/>
      <c r="BB91" s="5"/>
      <c r="BC91" s="5"/>
    </row>
    <row r="92" ht="15.75" customHeight="1">
      <c r="U92" s="52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5"/>
      <c r="BB92" s="5"/>
      <c r="BC92" s="5"/>
    </row>
    <row r="93" ht="15.75" customHeight="1">
      <c r="U93" s="52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5"/>
      <c r="BB93" s="5"/>
      <c r="BC93" s="5"/>
    </row>
    <row r="94" ht="15.75" customHeight="1">
      <c r="U94" s="52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5"/>
      <c r="BB94" s="5"/>
      <c r="BC94" s="5"/>
    </row>
    <row r="95" ht="15.75" customHeight="1">
      <c r="U95" s="52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5"/>
      <c r="BB95" s="5"/>
      <c r="BC95" s="5"/>
    </row>
    <row r="96" ht="15.75" customHeight="1">
      <c r="U96" s="52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5"/>
      <c r="BB96" s="5"/>
      <c r="BC96" s="5"/>
    </row>
    <row r="97" ht="15.75" customHeight="1">
      <c r="U97" s="52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5"/>
      <c r="BB97" s="5"/>
      <c r="BC97" s="5"/>
    </row>
    <row r="98" ht="15.75" customHeight="1">
      <c r="U98" s="52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5"/>
      <c r="BB98" s="5"/>
      <c r="BC98" s="5"/>
    </row>
    <row r="99" ht="15.75" customHeight="1">
      <c r="U99" s="52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5"/>
      <c r="BB99" s="5"/>
      <c r="BC99" s="5"/>
    </row>
    <row r="100" ht="15.75" customHeight="1">
      <c r="U100" s="52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5"/>
      <c r="BB100" s="5"/>
      <c r="BC100" s="5"/>
    </row>
    <row r="101" ht="15.75" customHeight="1">
      <c r="U101" s="52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5"/>
      <c r="BB101" s="5"/>
      <c r="BC101" s="5"/>
    </row>
    <row r="102" ht="15.75" customHeight="1">
      <c r="U102" s="52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5"/>
      <c r="BB102" s="5"/>
      <c r="BC102" s="5"/>
    </row>
    <row r="103" ht="15.75" customHeight="1">
      <c r="U103" s="52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5"/>
      <c r="BB103" s="5"/>
      <c r="BC103" s="5"/>
    </row>
    <row r="104" ht="15.75" customHeight="1">
      <c r="U104" s="52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5"/>
      <c r="BB104" s="5"/>
      <c r="BC104" s="5"/>
    </row>
    <row r="105" ht="15.75" customHeight="1">
      <c r="U105" s="52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5"/>
      <c r="BB105" s="5"/>
      <c r="BC105" s="5"/>
    </row>
    <row r="106" ht="15.75" customHeight="1">
      <c r="U106" s="52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5"/>
      <c r="BB106" s="5"/>
      <c r="BC106" s="5"/>
    </row>
    <row r="107" ht="15.75" customHeight="1">
      <c r="U107" s="52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5"/>
      <c r="BB107" s="5"/>
      <c r="BC107" s="5"/>
    </row>
    <row r="108" ht="15.75" customHeight="1">
      <c r="U108" s="52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5"/>
      <c r="BB108" s="5"/>
      <c r="BC108" s="5"/>
    </row>
    <row r="109" ht="15.75" customHeight="1">
      <c r="U109" s="52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5"/>
      <c r="BB109" s="5"/>
      <c r="BC109" s="5"/>
    </row>
    <row r="110" ht="15.75" customHeight="1">
      <c r="U110" s="52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5"/>
      <c r="BB110" s="5"/>
      <c r="BC110" s="5"/>
    </row>
    <row r="111" ht="15.75" customHeight="1">
      <c r="U111" s="52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5"/>
      <c r="BB111" s="5"/>
      <c r="BC111" s="5"/>
    </row>
    <row r="112" ht="15.75" customHeight="1">
      <c r="U112" s="52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5"/>
      <c r="BB112" s="5"/>
      <c r="BC112" s="5"/>
    </row>
    <row r="113" ht="15.75" customHeight="1">
      <c r="U113" s="52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5"/>
      <c r="BB113" s="5"/>
      <c r="BC113" s="5"/>
    </row>
    <row r="114" ht="15.75" customHeight="1">
      <c r="U114" s="52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5"/>
      <c r="BB114" s="5"/>
      <c r="BC114" s="5"/>
    </row>
    <row r="115" ht="15.75" customHeight="1">
      <c r="U115" s="52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5"/>
      <c r="BB115" s="5"/>
      <c r="BC115" s="5"/>
    </row>
    <row r="116" ht="15.75" customHeight="1">
      <c r="U116" s="52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5"/>
      <c r="BB116" s="5"/>
      <c r="BC116" s="5"/>
    </row>
    <row r="117" ht="15.75" customHeight="1">
      <c r="U117" s="52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5"/>
      <c r="BB117" s="5"/>
      <c r="BC117" s="5"/>
    </row>
    <row r="118" ht="15.75" customHeight="1">
      <c r="U118" s="52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5"/>
      <c r="BB118" s="5"/>
      <c r="BC118" s="5"/>
    </row>
    <row r="119" ht="15.75" customHeight="1">
      <c r="U119" s="52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5"/>
      <c r="BB119" s="5"/>
      <c r="BC119" s="5"/>
    </row>
    <row r="120" ht="15.75" customHeight="1">
      <c r="U120" s="52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5"/>
      <c r="BB120" s="5"/>
      <c r="BC120" s="5"/>
    </row>
    <row r="121" ht="15.75" customHeight="1">
      <c r="U121" s="52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5"/>
      <c r="BB121" s="5"/>
      <c r="BC121" s="5"/>
    </row>
    <row r="122" ht="15.75" customHeight="1">
      <c r="U122" s="52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5"/>
      <c r="BB122" s="5"/>
      <c r="BC122" s="5"/>
    </row>
    <row r="123" ht="15.75" customHeight="1">
      <c r="U123" s="52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5"/>
      <c r="BB123" s="5"/>
      <c r="BC123" s="5"/>
    </row>
    <row r="124" ht="15.75" customHeight="1">
      <c r="U124" s="52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5"/>
      <c r="BB124" s="5"/>
      <c r="BC124" s="5"/>
    </row>
    <row r="125" ht="15.75" customHeight="1">
      <c r="U125" s="52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5"/>
      <c r="BB125" s="5"/>
      <c r="BC125" s="5"/>
    </row>
    <row r="126" ht="15.75" customHeight="1">
      <c r="U126" s="52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5"/>
      <c r="BB126" s="5"/>
      <c r="BC126" s="5"/>
    </row>
    <row r="127" ht="15.75" customHeight="1">
      <c r="U127" s="52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5"/>
      <c r="BB127" s="5"/>
      <c r="BC127" s="5"/>
    </row>
    <row r="128" ht="15.75" customHeight="1">
      <c r="U128" s="52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5"/>
      <c r="BB128" s="5"/>
      <c r="BC128" s="5"/>
    </row>
    <row r="129" ht="15.75" customHeight="1">
      <c r="U129" s="52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5"/>
      <c r="BB129" s="5"/>
      <c r="BC129" s="5"/>
    </row>
    <row r="130" ht="15.75" customHeight="1">
      <c r="U130" s="52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5"/>
      <c r="BB130" s="5"/>
      <c r="BC130" s="5"/>
    </row>
    <row r="131" ht="15.75" customHeight="1">
      <c r="U131" s="52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5"/>
      <c r="BB131" s="5"/>
      <c r="BC131" s="5"/>
    </row>
    <row r="132" ht="15.75" customHeight="1">
      <c r="U132" s="52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5"/>
      <c r="BB132" s="5"/>
      <c r="BC132" s="5"/>
    </row>
    <row r="133" ht="15.75" customHeight="1">
      <c r="U133" s="52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5"/>
      <c r="BB133" s="5"/>
      <c r="BC133" s="5"/>
    </row>
    <row r="134" ht="15.75" customHeight="1">
      <c r="U134" s="52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5"/>
      <c r="BB134" s="5"/>
      <c r="BC134" s="5"/>
    </row>
    <row r="135" ht="15.75" customHeight="1">
      <c r="U135" s="52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5"/>
      <c r="BB135" s="5"/>
      <c r="BC135" s="5"/>
    </row>
    <row r="136" ht="15.75" customHeight="1">
      <c r="U136" s="52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5"/>
      <c r="BB136" s="5"/>
      <c r="BC136" s="5"/>
    </row>
    <row r="137" ht="15.75" customHeight="1">
      <c r="U137" s="52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5"/>
      <c r="BB137" s="5"/>
      <c r="BC137" s="5"/>
    </row>
    <row r="138" ht="15.75" customHeight="1">
      <c r="U138" s="52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5"/>
      <c r="BB138" s="5"/>
      <c r="BC138" s="5"/>
    </row>
    <row r="139" ht="15.75" customHeight="1">
      <c r="U139" s="52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5"/>
      <c r="BB139" s="5"/>
      <c r="BC139" s="5"/>
    </row>
    <row r="140" ht="15.75" customHeight="1">
      <c r="U140" s="52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5"/>
      <c r="BB140" s="5"/>
      <c r="BC140" s="5"/>
    </row>
    <row r="141" ht="15.75" customHeight="1">
      <c r="U141" s="52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5"/>
      <c r="BB141" s="5"/>
      <c r="BC141" s="5"/>
    </row>
    <row r="142" ht="15.75" customHeight="1">
      <c r="U142" s="52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5"/>
      <c r="BB142" s="5"/>
      <c r="BC142" s="5"/>
    </row>
    <row r="143" ht="15.75" customHeight="1">
      <c r="U143" s="52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5"/>
      <c r="BB143" s="5"/>
      <c r="BC143" s="5"/>
    </row>
    <row r="144" ht="15.75" customHeight="1">
      <c r="U144" s="52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5"/>
      <c r="BB144" s="5"/>
      <c r="BC144" s="5"/>
    </row>
    <row r="145" ht="15.75" customHeight="1">
      <c r="U145" s="52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5"/>
      <c r="BB145" s="5"/>
      <c r="BC145" s="5"/>
    </row>
    <row r="146" ht="15.75" customHeight="1">
      <c r="U146" s="52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5"/>
      <c r="BB146" s="5"/>
      <c r="BC146" s="5"/>
    </row>
    <row r="147" ht="15.75" customHeight="1">
      <c r="U147" s="52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5"/>
      <c r="BB147" s="5"/>
      <c r="BC147" s="5"/>
    </row>
    <row r="148" ht="15.75" customHeight="1">
      <c r="U148" s="52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5"/>
      <c r="BB148" s="5"/>
      <c r="BC148" s="5"/>
    </row>
    <row r="149" ht="15.75" customHeight="1">
      <c r="U149" s="52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5"/>
      <c r="BB149" s="5"/>
      <c r="BC149" s="5"/>
    </row>
    <row r="150" ht="15.75" customHeight="1">
      <c r="U150" s="52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5"/>
      <c r="BB150" s="5"/>
      <c r="BC150" s="5"/>
    </row>
    <row r="151" ht="15.75" customHeight="1">
      <c r="U151" s="52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5"/>
      <c r="BB151" s="5"/>
      <c r="BC151" s="5"/>
    </row>
    <row r="152" ht="15.75" customHeight="1">
      <c r="U152" s="52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5"/>
      <c r="BB152" s="5"/>
      <c r="BC152" s="5"/>
    </row>
    <row r="153" ht="15.75" customHeight="1">
      <c r="U153" s="52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5"/>
      <c r="BB153" s="5"/>
      <c r="BC153" s="5"/>
    </row>
    <row r="154" ht="15.75" customHeight="1">
      <c r="U154" s="52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5"/>
      <c r="BB154" s="5"/>
      <c r="BC154" s="5"/>
    </row>
    <row r="155" ht="15.75" customHeight="1">
      <c r="U155" s="52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5"/>
      <c r="BB155" s="5"/>
      <c r="BC155" s="5"/>
    </row>
    <row r="156" ht="15.75" customHeight="1">
      <c r="U156" s="52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5"/>
      <c r="BB156" s="5"/>
      <c r="BC156" s="5"/>
    </row>
    <row r="157" ht="15.75" customHeight="1">
      <c r="U157" s="52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5"/>
      <c r="BB157" s="5"/>
      <c r="BC157" s="5"/>
    </row>
    <row r="158" ht="15.75" customHeight="1">
      <c r="U158" s="52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5"/>
      <c r="BB158" s="5"/>
      <c r="BC158" s="5"/>
    </row>
    <row r="159" ht="15.75" customHeight="1">
      <c r="U159" s="52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5"/>
      <c r="BB159" s="5"/>
      <c r="BC159" s="5"/>
    </row>
    <row r="160" ht="15.75" customHeight="1">
      <c r="U160" s="52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5"/>
      <c r="BB160" s="5"/>
      <c r="BC160" s="5"/>
    </row>
    <row r="161" ht="15.75" customHeight="1">
      <c r="U161" s="52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5"/>
      <c r="BB161" s="5"/>
      <c r="BC161" s="5"/>
    </row>
    <row r="162" ht="15.75" customHeight="1">
      <c r="U162" s="52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5"/>
      <c r="BB162" s="5"/>
      <c r="BC162" s="5"/>
    </row>
    <row r="163" ht="15.75" customHeight="1">
      <c r="U163" s="52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5"/>
      <c r="BB163" s="5"/>
      <c r="BC163" s="5"/>
    </row>
    <row r="164" ht="15.75" customHeight="1">
      <c r="U164" s="52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5"/>
      <c r="BB164" s="5"/>
      <c r="BC164" s="5"/>
    </row>
    <row r="165" ht="15.75" customHeight="1">
      <c r="U165" s="52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5"/>
      <c r="BB165" s="5"/>
      <c r="BC165" s="5"/>
    </row>
    <row r="166" ht="15.75" customHeight="1">
      <c r="U166" s="52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5"/>
      <c r="BB166" s="5"/>
      <c r="BC166" s="5"/>
    </row>
    <row r="167" ht="15.75" customHeight="1">
      <c r="U167" s="52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5"/>
      <c r="BB167" s="5"/>
      <c r="BC167" s="5"/>
    </row>
    <row r="168" ht="15.75" customHeight="1">
      <c r="U168" s="52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5"/>
      <c r="BB168" s="5"/>
      <c r="BC168" s="5"/>
    </row>
    <row r="169" ht="15.75" customHeight="1">
      <c r="U169" s="52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5"/>
      <c r="BB169" s="5"/>
      <c r="BC169" s="5"/>
    </row>
    <row r="170" ht="15.75" customHeight="1">
      <c r="U170" s="52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5"/>
      <c r="BB170" s="5"/>
      <c r="BC170" s="5"/>
    </row>
    <row r="171" ht="15.75" customHeight="1">
      <c r="U171" s="52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5"/>
      <c r="BB171" s="5"/>
      <c r="BC171" s="5"/>
    </row>
    <row r="172" ht="15.75" customHeight="1">
      <c r="U172" s="52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5"/>
      <c r="BB172" s="5"/>
      <c r="BC172" s="5"/>
    </row>
    <row r="173" ht="15.75" customHeight="1">
      <c r="U173" s="52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5"/>
      <c r="BB173" s="5"/>
      <c r="BC173" s="5"/>
    </row>
    <row r="174" ht="15.75" customHeight="1">
      <c r="U174" s="52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5"/>
      <c r="BB174" s="5"/>
      <c r="BC174" s="5"/>
    </row>
    <row r="175" ht="15.75" customHeight="1">
      <c r="U175" s="52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5"/>
      <c r="BB175" s="5"/>
      <c r="BC175" s="5"/>
    </row>
    <row r="176" ht="15.75" customHeight="1">
      <c r="U176" s="52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5"/>
      <c r="BB176" s="5"/>
      <c r="BC176" s="5"/>
    </row>
    <row r="177" ht="15.75" customHeight="1">
      <c r="U177" s="52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5"/>
      <c r="BB177" s="5"/>
      <c r="BC177" s="5"/>
    </row>
    <row r="178" ht="15.75" customHeight="1">
      <c r="U178" s="52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5"/>
      <c r="BB178" s="5"/>
      <c r="BC178" s="5"/>
    </row>
    <row r="179" ht="15.75" customHeight="1">
      <c r="U179" s="52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5"/>
      <c r="BB179" s="5"/>
      <c r="BC179" s="5"/>
    </row>
    <row r="180" ht="15.75" customHeight="1">
      <c r="U180" s="52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5"/>
      <c r="BB180" s="5"/>
      <c r="BC180" s="5"/>
    </row>
    <row r="181" ht="15.75" customHeight="1">
      <c r="U181" s="52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5"/>
      <c r="BB181" s="5"/>
      <c r="BC181" s="5"/>
    </row>
    <row r="182" ht="15.75" customHeight="1">
      <c r="U182" s="52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5"/>
      <c r="BB182" s="5"/>
      <c r="BC182" s="5"/>
    </row>
    <row r="183" ht="15.75" customHeight="1">
      <c r="U183" s="52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5"/>
      <c r="BB183" s="5"/>
      <c r="BC183" s="5"/>
    </row>
    <row r="184" ht="15.75" customHeight="1">
      <c r="U184" s="52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5"/>
      <c r="BB184" s="5"/>
      <c r="BC184" s="5"/>
    </row>
    <row r="185" ht="15.75" customHeight="1">
      <c r="U185" s="52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5"/>
      <c r="BB185" s="5"/>
      <c r="BC185" s="5"/>
    </row>
    <row r="186" ht="15.75" customHeight="1">
      <c r="U186" s="52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5"/>
      <c r="BB186" s="5"/>
      <c r="BC186" s="5"/>
    </row>
    <row r="187" ht="15.75" customHeight="1">
      <c r="U187" s="52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5"/>
      <c r="BB187" s="5"/>
      <c r="BC187" s="5"/>
    </row>
    <row r="188" ht="15.75" customHeight="1">
      <c r="U188" s="52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5"/>
      <c r="BB188" s="5"/>
      <c r="BC188" s="5"/>
    </row>
    <row r="189" ht="15.75" customHeight="1">
      <c r="U189" s="52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5"/>
      <c r="BB189" s="5"/>
      <c r="BC189" s="5"/>
    </row>
    <row r="190" ht="15.75" customHeight="1">
      <c r="U190" s="52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5"/>
      <c r="BB190" s="5"/>
      <c r="BC190" s="5"/>
    </row>
    <row r="191" ht="15.75" customHeight="1">
      <c r="U191" s="52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5"/>
      <c r="BB191" s="5"/>
      <c r="BC191" s="5"/>
    </row>
    <row r="192" ht="15.75" customHeight="1">
      <c r="U192" s="52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5"/>
      <c r="BB192" s="5"/>
      <c r="BC192" s="5"/>
    </row>
    <row r="193" ht="15.75" customHeight="1">
      <c r="U193" s="52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5"/>
      <c r="BB193" s="5"/>
      <c r="BC193" s="5"/>
    </row>
    <row r="194" ht="15.75" customHeight="1">
      <c r="U194" s="52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5"/>
      <c r="BB194" s="5"/>
      <c r="BC194" s="5"/>
    </row>
    <row r="195" ht="15.75" customHeight="1">
      <c r="U195" s="52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5"/>
      <c r="BB195" s="5"/>
      <c r="BC195" s="5"/>
    </row>
    <row r="196" ht="15.75" customHeight="1">
      <c r="U196" s="52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5"/>
      <c r="BB196" s="5"/>
      <c r="BC196" s="5"/>
    </row>
    <row r="197" ht="15.75" customHeight="1">
      <c r="U197" s="52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5"/>
      <c r="BB197" s="5"/>
      <c r="BC197" s="5"/>
    </row>
    <row r="198" ht="15.75" customHeight="1">
      <c r="U198" s="52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5"/>
      <c r="BB198" s="5"/>
      <c r="BC198" s="5"/>
    </row>
    <row r="199" ht="15.75" customHeight="1">
      <c r="U199" s="52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5"/>
      <c r="BB199" s="5"/>
      <c r="BC199" s="5"/>
    </row>
    <row r="200" ht="15.75" customHeight="1">
      <c r="U200" s="52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5"/>
      <c r="BB200" s="5"/>
      <c r="BC200" s="5"/>
    </row>
    <row r="201" ht="15.75" customHeight="1">
      <c r="U201" s="52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5"/>
      <c r="BB201" s="5"/>
      <c r="BC201" s="5"/>
    </row>
    <row r="202" ht="15.75" customHeight="1">
      <c r="U202" s="52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5"/>
      <c r="BB202" s="5"/>
      <c r="BC202" s="5"/>
    </row>
    <row r="203" ht="15.75" customHeight="1">
      <c r="U203" s="52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5"/>
      <c r="BB203" s="5"/>
      <c r="BC203" s="5"/>
    </row>
    <row r="204" ht="15.75" customHeight="1">
      <c r="U204" s="52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5"/>
      <c r="BB204" s="5"/>
      <c r="BC204" s="5"/>
    </row>
    <row r="205" ht="15.75" customHeight="1">
      <c r="U205" s="52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5"/>
      <c r="BB205" s="5"/>
      <c r="BC205" s="5"/>
    </row>
    <row r="206" ht="15.75" customHeight="1">
      <c r="U206" s="52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5"/>
      <c r="BB206" s="5"/>
      <c r="BC206" s="5"/>
    </row>
    <row r="207" ht="15.75" customHeight="1">
      <c r="U207" s="52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5"/>
      <c r="BB207" s="5"/>
      <c r="BC207" s="5"/>
    </row>
    <row r="208" ht="15.75" customHeight="1">
      <c r="U208" s="52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5"/>
      <c r="BB208" s="5"/>
      <c r="BC208" s="5"/>
    </row>
    <row r="209" ht="15.75" customHeight="1">
      <c r="U209" s="52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5"/>
      <c r="BB209" s="5"/>
      <c r="BC209" s="5"/>
    </row>
    <row r="210" ht="15.75" customHeight="1">
      <c r="U210" s="52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5"/>
      <c r="BB210" s="5"/>
      <c r="BC210" s="5"/>
    </row>
    <row r="211" ht="15.75" customHeight="1">
      <c r="U211" s="52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5"/>
      <c r="BB211" s="5"/>
      <c r="BC211" s="5"/>
    </row>
    <row r="212" ht="15.75" customHeight="1">
      <c r="U212" s="52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5"/>
      <c r="BB212" s="5"/>
      <c r="BC212" s="5"/>
    </row>
    <row r="213" ht="15.75" customHeight="1">
      <c r="U213" s="52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5"/>
      <c r="BB213" s="5"/>
      <c r="BC213" s="5"/>
    </row>
    <row r="214" ht="15.75" customHeight="1">
      <c r="U214" s="52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5"/>
      <c r="BB214" s="5"/>
      <c r="BC214" s="5"/>
    </row>
    <row r="215" ht="15.75" customHeight="1">
      <c r="U215" s="52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5"/>
      <c r="BB215" s="5"/>
      <c r="BC215" s="5"/>
    </row>
    <row r="216" ht="15.75" customHeight="1">
      <c r="U216" s="52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5"/>
      <c r="BB216" s="5"/>
      <c r="BC216" s="5"/>
    </row>
    <row r="217" ht="15.75" customHeight="1">
      <c r="U217" s="52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5"/>
      <c r="BB217" s="5"/>
      <c r="BC217" s="5"/>
    </row>
    <row r="218" ht="15.75" customHeight="1">
      <c r="U218" s="52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5"/>
      <c r="BB218" s="5"/>
      <c r="BC218" s="5"/>
    </row>
    <row r="219" ht="15.75" customHeight="1">
      <c r="U219" s="52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5"/>
      <c r="BB219" s="5"/>
      <c r="BC219" s="5"/>
    </row>
    <row r="220" ht="15.75" customHeight="1">
      <c r="U220" s="52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5"/>
      <c r="BB220" s="5"/>
      <c r="BC220" s="5"/>
    </row>
    <row r="221" ht="15.75" customHeight="1">
      <c r="U221" s="52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5"/>
      <c r="BB221" s="5"/>
      <c r="BC221" s="5"/>
    </row>
    <row r="222" ht="15.75" customHeight="1">
      <c r="U222" s="52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5"/>
      <c r="BB222" s="5"/>
      <c r="BC222" s="5"/>
    </row>
    <row r="223" ht="15.75" customHeight="1">
      <c r="U223" s="52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5"/>
      <c r="BB223" s="5"/>
      <c r="BC223" s="5"/>
    </row>
    <row r="224" ht="15.75" customHeight="1">
      <c r="U224" s="52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5"/>
      <c r="BB224" s="5"/>
      <c r="BC224" s="5"/>
    </row>
    <row r="225" ht="15.75" customHeight="1">
      <c r="U225" s="52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5"/>
      <c r="BB225" s="5"/>
      <c r="BC225" s="5"/>
    </row>
    <row r="226" ht="15.75" customHeight="1">
      <c r="U226" s="52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5"/>
      <c r="BB226" s="5"/>
      <c r="BC226" s="5"/>
    </row>
    <row r="227" ht="15.75" customHeight="1">
      <c r="U227" s="52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5"/>
      <c r="BB227" s="5"/>
      <c r="BC227" s="5"/>
    </row>
    <row r="228" ht="15.75" customHeight="1">
      <c r="U228" s="52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5"/>
      <c r="BB228" s="5"/>
      <c r="BC228" s="5"/>
    </row>
    <row r="229" ht="15.75" customHeight="1">
      <c r="U229" s="52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5"/>
      <c r="BB229" s="5"/>
      <c r="BC229" s="5"/>
    </row>
    <row r="230" ht="15.75" customHeight="1">
      <c r="U230" s="52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5"/>
      <c r="BB230" s="5"/>
      <c r="BC230" s="5"/>
    </row>
    <row r="231" ht="15.75" customHeight="1">
      <c r="U231" s="52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5"/>
      <c r="BB231" s="5"/>
      <c r="BC231" s="5"/>
    </row>
    <row r="232" ht="15.75" customHeight="1">
      <c r="U232" s="52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5"/>
      <c r="BB232" s="5"/>
      <c r="BC232" s="5"/>
    </row>
    <row r="233" ht="15.75" customHeight="1">
      <c r="U233" s="52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5"/>
      <c r="BB233" s="5"/>
      <c r="BC233" s="5"/>
    </row>
    <row r="234" ht="15.75" customHeight="1">
      <c r="U234" s="52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5"/>
      <c r="BB234" s="5"/>
      <c r="BC234" s="5"/>
    </row>
    <row r="235" ht="15.75" customHeight="1">
      <c r="U235" s="52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5"/>
      <c r="BB235" s="5"/>
      <c r="BC235" s="5"/>
    </row>
    <row r="236" ht="15.75" customHeight="1">
      <c r="U236" s="52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5"/>
      <c r="BB236" s="5"/>
      <c r="BC236" s="5"/>
    </row>
    <row r="237" ht="15.75" customHeight="1">
      <c r="U237" s="52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5"/>
      <c r="BB237" s="5"/>
      <c r="BC237" s="5"/>
    </row>
    <row r="238" ht="15.75" customHeight="1">
      <c r="U238" s="52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5"/>
      <c r="BB238" s="5"/>
      <c r="BC238" s="5"/>
    </row>
    <row r="239" ht="15.75" customHeight="1">
      <c r="U239" s="52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5"/>
      <c r="BB239" s="5"/>
      <c r="BC239" s="5"/>
    </row>
    <row r="240" ht="15.75" customHeight="1">
      <c r="U240" s="52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5"/>
      <c r="BB240" s="5"/>
      <c r="BC240" s="5"/>
    </row>
    <row r="241" ht="15.75" customHeight="1">
      <c r="U241" s="52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5"/>
      <c r="BB241" s="5"/>
      <c r="BC241" s="5"/>
    </row>
    <row r="242" ht="15.75" customHeight="1">
      <c r="U242" s="52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5"/>
      <c r="BB242" s="5"/>
      <c r="BC242" s="5"/>
    </row>
    <row r="243" ht="15.75" customHeight="1">
      <c r="U243" s="52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5"/>
      <c r="BB243" s="5"/>
      <c r="BC243" s="5"/>
    </row>
    <row r="244" ht="15.75" customHeight="1">
      <c r="U244" s="52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5"/>
      <c r="BB244" s="5"/>
      <c r="BC244" s="5"/>
    </row>
    <row r="245" ht="15.75" customHeight="1">
      <c r="U245" s="52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5"/>
      <c r="BB245" s="5"/>
      <c r="BC245" s="5"/>
    </row>
    <row r="246" ht="15.75" customHeight="1">
      <c r="U246" s="52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5"/>
      <c r="BB246" s="5"/>
      <c r="BC246" s="5"/>
    </row>
    <row r="247" ht="15.75" customHeight="1">
      <c r="U247" s="52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5"/>
      <c r="BB247" s="5"/>
      <c r="BC247" s="5"/>
    </row>
    <row r="248" ht="15.75" customHeight="1">
      <c r="U248" s="52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5"/>
      <c r="BB248" s="5"/>
      <c r="BC248" s="5"/>
    </row>
    <row r="249" ht="15.75" customHeight="1">
      <c r="U249" s="52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5"/>
      <c r="BB249" s="5"/>
      <c r="BC249" s="5"/>
    </row>
    <row r="250" ht="15.75" customHeight="1">
      <c r="U250" s="52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5"/>
      <c r="BB250" s="5"/>
      <c r="BC250" s="5"/>
    </row>
    <row r="251" ht="15.75" customHeight="1">
      <c r="U251" s="52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5"/>
      <c r="BB251" s="5"/>
      <c r="BC251" s="5"/>
    </row>
    <row r="252" ht="15.75" customHeight="1">
      <c r="U252" s="52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5"/>
      <c r="BB252" s="5"/>
      <c r="BC252" s="5"/>
    </row>
    <row r="253" ht="15.75" customHeight="1">
      <c r="U253" s="52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5"/>
      <c r="BB253" s="5"/>
      <c r="BC253" s="5"/>
    </row>
    <row r="254" ht="15.75" customHeight="1">
      <c r="U254" s="52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5"/>
      <c r="BB254" s="5"/>
      <c r="BC254" s="5"/>
    </row>
    <row r="255" ht="15.75" customHeight="1">
      <c r="U255" s="52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5"/>
      <c r="BB255" s="5"/>
      <c r="BC255" s="5"/>
    </row>
    <row r="256" ht="15.75" customHeight="1">
      <c r="U256" s="52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5"/>
      <c r="BB256" s="5"/>
      <c r="BC256" s="5"/>
    </row>
    <row r="257" ht="15.75" customHeight="1">
      <c r="U257" s="52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5"/>
      <c r="BB257" s="5"/>
      <c r="BC257" s="5"/>
    </row>
    <row r="258" ht="15.75" customHeight="1">
      <c r="U258" s="52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5"/>
      <c r="BB258" s="5"/>
      <c r="BC258" s="5"/>
    </row>
    <row r="259" ht="15.75" customHeight="1">
      <c r="U259" s="52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5"/>
      <c r="BB259" s="5"/>
      <c r="BC259" s="5"/>
    </row>
    <row r="260" ht="15.75" customHeight="1">
      <c r="U260" s="52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5"/>
      <c r="BB260" s="5"/>
      <c r="BC260" s="5"/>
    </row>
    <row r="261" ht="15.75" customHeight="1">
      <c r="U261" s="52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5"/>
      <c r="BB261" s="5"/>
      <c r="BC261" s="5"/>
    </row>
    <row r="262" ht="15.75" customHeight="1">
      <c r="U262" s="52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5"/>
      <c r="BB262" s="5"/>
      <c r="BC262" s="5"/>
    </row>
    <row r="263" ht="15.75" customHeight="1">
      <c r="U263" s="52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5"/>
      <c r="BB263" s="5"/>
      <c r="BC263" s="5"/>
    </row>
    <row r="264" ht="15.75" customHeight="1">
      <c r="U264" s="52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5"/>
      <c r="BB264" s="5"/>
      <c r="BC264" s="5"/>
    </row>
    <row r="265" ht="15.75" customHeight="1">
      <c r="U265" s="52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5"/>
      <c r="BB265" s="5"/>
      <c r="BC265" s="5"/>
    </row>
    <row r="266" ht="15.75" customHeight="1">
      <c r="U266" s="52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5"/>
      <c r="BB266" s="5"/>
      <c r="BC266" s="5"/>
    </row>
    <row r="267" ht="15.75" customHeight="1">
      <c r="U267" s="52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5"/>
      <c r="BB267" s="5"/>
      <c r="BC267" s="5"/>
    </row>
    <row r="268" ht="15.75" customHeight="1">
      <c r="U268" s="52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5"/>
      <c r="BB268" s="5"/>
      <c r="BC268" s="5"/>
    </row>
    <row r="269" ht="15.75" customHeight="1">
      <c r="U269" s="52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5"/>
      <c r="BB269" s="5"/>
      <c r="BC269" s="5"/>
    </row>
    <row r="270" ht="15.75" customHeight="1">
      <c r="U270" s="52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5"/>
      <c r="BB270" s="5"/>
      <c r="BC270" s="5"/>
    </row>
    <row r="271" ht="15.75" customHeight="1">
      <c r="U271" s="52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5"/>
      <c r="BB271" s="5"/>
      <c r="BC271" s="5"/>
    </row>
    <row r="272" ht="15.75" customHeight="1">
      <c r="U272" s="52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5"/>
      <c r="BB272" s="5"/>
      <c r="BC272" s="5"/>
    </row>
    <row r="273" ht="15.75" customHeight="1">
      <c r="U273" s="52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5"/>
      <c r="BB273" s="5"/>
      <c r="BC273" s="5"/>
    </row>
    <row r="274" ht="15.75" customHeight="1">
      <c r="U274" s="52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5"/>
      <c r="BB274" s="5"/>
      <c r="BC274" s="5"/>
    </row>
    <row r="275" ht="15.75" customHeight="1">
      <c r="U275" s="52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5"/>
      <c r="BB275" s="5"/>
      <c r="BC275" s="5"/>
    </row>
    <row r="276" ht="15.75" customHeight="1">
      <c r="U276" s="52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5"/>
      <c r="BB276" s="5"/>
      <c r="BC276" s="5"/>
    </row>
    <row r="277" ht="15.75" customHeight="1">
      <c r="U277" s="52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5"/>
      <c r="BB277" s="5"/>
      <c r="BC277" s="5"/>
    </row>
    <row r="278" ht="15.75" customHeight="1">
      <c r="U278" s="52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5"/>
      <c r="BB278" s="5"/>
      <c r="BC278" s="5"/>
    </row>
    <row r="279" ht="15.75" customHeight="1">
      <c r="U279" s="52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5"/>
      <c r="BB279" s="5"/>
      <c r="BC279" s="5"/>
    </row>
    <row r="280" ht="15.75" customHeight="1">
      <c r="U280" s="52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5"/>
      <c r="BB280" s="5"/>
      <c r="BC280" s="5"/>
    </row>
    <row r="281" ht="15.75" customHeight="1">
      <c r="U281" s="52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5"/>
      <c r="BB281" s="5"/>
      <c r="BC281" s="5"/>
    </row>
    <row r="282" ht="15.75" customHeight="1">
      <c r="U282" s="52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5"/>
      <c r="BB282" s="5"/>
      <c r="BC282" s="5"/>
    </row>
    <row r="283" ht="15.75" customHeight="1">
      <c r="U283" s="52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5"/>
      <c r="BB283" s="5"/>
      <c r="BC283" s="5"/>
    </row>
    <row r="284" ht="15.75" customHeight="1">
      <c r="U284" s="52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5"/>
      <c r="BB284" s="5"/>
      <c r="BC284" s="5"/>
    </row>
    <row r="285" ht="15.75" customHeight="1">
      <c r="U285" s="52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5"/>
      <c r="BB285" s="5"/>
      <c r="BC285" s="5"/>
    </row>
    <row r="286" ht="15.75" customHeight="1">
      <c r="U286" s="52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5"/>
      <c r="BB286" s="5"/>
      <c r="BC286" s="5"/>
    </row>
    <row r="287" ht="15.75" customHeight="1">
      <c r="U287" s="52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5"/>
      <c r="BB287" s="5"/>
      <c r="BC287" s="5"/>
    </row>
    <row r="288" ht="15.75" customHeight="1">
      <c r="U288" s="52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5"/>
      <c r="BB288" s="5"/>
      <c r="BC288" s="5"/>
    </row>
    <row r="289" ht="15.75" customHeight="1">
      <c r="U289" s="52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5"/>
      <c r="BB289" s="5"/>
      <c r="BC289" s="5"/>
    </row>
    <row r="290" ht="15.75" customHeight="1">
      <c r="U290" s="52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5"/>
      <c r="BB290" s="5"/>
      <c r="BC290" s="5"/>
    </row>
    <row r="291" ht="15.75" customHeight="1">
      <c r="U291" s="52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5"/>
      <c r="BB291" s="5"/>
      <c r="BC291" s="5"/>
    </row>
    <row r="292" ht="15.75" customHeight="1">
      <c r="U292" s="52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5"/>
      <c r="BB292" s="5"/>
      <c r="BC292" s="5"/>
    </row>
    <row r="293" ht="15.75" customHeight="1">
      <c r="U293" s="52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5"/>
      <c r="BB293" s="5"/>
      <c r="BC293" s="5"/>
    </row>
    <row r="294" ht="15.75" customHeight="1">
      <c r="U294" s="52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5"/>
      <c r="BB294" s="5"/>
      <c r="BC294" s="5"/>
    </row>
    <row r="295" ht="15.75" customHeight="1">
      <c r="U295" s="52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5"/>
      <c r="BB295" s="5"/>
      <c r="BC295" s="5"/>
    </row>
    <row r="296" ht="15.75" customHeight="1">
      <c r="U296" s="52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5"/>
      <c r="BB296" s="5"/>
      <c r="BC296" s="5"/>
    </row>
    <row r="297" ht="15.75" customHeight="1">
      <c r="U297" s="52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5"/>
      <c r="BB297" s="5"/>
      <c r="BC297" s="5"/>
    </row>
    <row r="298" ht="15.75" customHeight="1">
      <c r="U298" s="52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5"/>
      <c r="BB298" s="5"/>
      <c r="BC298" s="5"/>
    </row>
    <row r="299" ht="15.75" customHeight="1">
      <c r="U299" s="52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5"/>
      <c r="BB299" s="5"/>
      <c r="BC299" s="5"/>
    </row>
    <row r="300" ht="15.75" customHeight="1">
      <c r="U300" s="52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5"/>
      <c r="BB300" s="5"/>
      <c r="BC300" s="5"/>
    </row>
    <row r="301" ht="15.75" customHeight="1">
      <c r="U301" s="52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5"/>
      <c r="BB301" s="5"/>
      <c r="BC301" s="5"/>
    </row>
    <row r="302" ht="15.75" customHeight="1">
      <c r="U302" s="52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5"/>
      <c r="BB302" s="5"/>
      <c r="BC302" s="5"/>
    </row>
    <row r="303" ht="15.75" customHeight="1">
      <c r="U303" s="52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5"/>
      <c r="BB303" s="5"/>
      <c r="BC303" s="5"/>
    </row>
    <row r="304" ht="15.75" customHeight="1">
      <c r="U304" s="52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5"/>
      <c r="BB304" s="5"/>
      <c r="BC304" s="5"/>
    </row>
    <row r="305" ht="15.75" customHeight="1">
      <c r="U305" s="52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5"/>
      <c r="BB305" s="5"/>
      <c r="BC305" s="5"/>
    </row>
    <row r="306" ht="15.75" customHeight="1">
      <c r="U306" s="52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5"/>
      <c r="BB306" s="5"/>
      <c r="BC306" s="5"/>
    </row>
    <row r="307" ht="15.75" customHeight="1">
      <c r="U307" s="52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5"/>
      <c r="BB307" s="5"/>
      <c r="BC307" s="5"/>
    </row>
    <row r="308" ht="15.75" customHeight="1">
      <c r="U308" s="52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5"/>
      <c r="BB308" s="5"/>
      <c r="BC308" s="5"/>
    </row>
    <row r="309" ht="15.75" customHeight="1">
      <c r="U309" s="52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5"/>
      <c r="BB309" s="5"/>
      <c r="BC309" s="5"/>
    </row>
    <row r="310" ht="15.75" customHeight="1">
      <c r="U310" s="52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5"/>
      <c r="BB310" s="5"/>
      <c r="BC310" s="5"/>
    </row>
    <row r="311" ht="15.75" customHeight="1">
      <c r="U311" s="52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5"/>
      <c r="BB311" s="5"/>
      <c r="BC311" s="5"/>
    </row>
    <row r="312" ht="15.75" customHeight="1">
      <c r="U312" s="52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5"/>
      <c r="BB312" s="5"/>
      <c r="BC312" s="5"/>
    </row>
    <row r="313" ht="15.75" customHeight="1">
      <c r="U313" s="52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5"/>
      <c r="BB313" s="5"/>
      <c r="BC313" s="5"/>
    </row>
    <row r="314" ht="15.75" customHeight="1">
      <c r="U314" s="52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5"/>
      <c r="BB314" s="5"/>
      <c r="BC314" s="5"/>
    </row>
    <row r="315" ht="15.75" customHeight="1">
      <c r="U315" s="52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5"/>
      <c r="BB315" s="5"/>
      <c r="BC315" s="5"/>
    </row>
    <row r="316" ht="15.75" customHeight="1">
      <c r="U316" s="52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5"/>
      <c r="BB316" s="5"/>
      <c r="BC316" s="5"/>
    </row>
    <row r="317" ht="15.75" customHeight="1">
      <c r="U317" s="52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5"/>
      <c r="BB317" s="5"/>
      <c r="BC317" s="5"/>
    </row>
    <row r="318" ht="15.75" customHeight="1">
      <c r="U318" s="52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5"/>
      <c r="BB318" s="5"/>
      <c r="BC318" s="5"/>
    </row>
    <row r="319" ht="15.75" customHeight="1">
      <c r="U319" s="52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5"/>
      <c r="BB319" s="5"/>
      <c r="BC319" s="5"/>
    </row>
    <row r="320" ht="15.75" customHeight="1">
      <c r="U320" s="52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5"/>
      <c r="BB320" s="5"/>
      <c r="BC320" s="5"/>
    </row>
    <row r="321" ht="15.75" customHeight="1">
      <c r="U321" s="52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5"/>
      <c r="BB321" s="5"/>
      <c r="BC321" s="5"/>
    </row>
    <row r="322" ht="15.75" customHeight="1">
      <c r="U322" s="52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5"/>
      <c r="BB322" s="5"/>
      <c r="BC322" s="5"/>
    </row>
    <row r="323" ht="15.75" customHeight="1">
      <c r="U323" s="52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5"/>
      <c r="BB323" s="5"/>
      <c r="BC323" s="5"/>
    </row>
    <row r="324" ht="15.75" customHeight="1">
      <c r="U324" s="52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5"/>
      <c r="BB324" s="5"/>
      <c r="BC324" s="5"/>
    </row>
    <row r="325" ht="15.75" customHeight="1">
      <c r="U325" s="52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5"/>
      <c r="BB325" s="5"/>
      <c r="BC325" s="5"/>
    </row>
    <row r="326" ht="15.75" customHeight="1">
      <c r="U326" s="52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5"/>
      <c r="BB326" s="5"/>
      <c r="BC326" s="5"/>
    </row>
    <row r="327" ht="15.75" customHeight="1">
      <c r="U327" s="52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5"/>
      <c r="BB327" s="5"/>
      <c r="BC327" s="5"/>
    </row>
    <row r="328" ht="15.75" customHeight="1">
      <c r="U328" s="52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5"/>
      <c r="BB328" s="5"/>
      <c r="BC328" s="5"/>
    </row>
    <row r="329" ht="15.75" customHeight="1">
      <c r="U329" s="52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5"/>
      <c r="BB329" s="5"/>
      <c r="BC329" s="5"/>
    </row>
    <row r="330" ht="15.75" customHeight="1">
      <c r="U330" s="52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5"/>
      <c r="BB330" s="5"/>
      <c r="BC330" s="5"/>
    </row>
    <row r="331" ht="15.75" customHeight="1">
      <c r="U331" s="52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5"/>
      <c r="BB331" s="5"/>
      <c r="BC331" s="5"/>
    </row>
    <row r="332" ht="15.75" customHeight="1">
      <c r="U332" s="52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5"/>
      <c r="BB332" s="5"/>
      <c r="BC332" s="5"/>
    </row>
    <row r="333" ht="15.75" customHeight="1">
      <c r="U333" s="52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5"/>
      <c r="BB333" s="5"/>
      <c r="BC333" s="5"/>
    </row>
    <row r="334" ht="15.75" customHeight="1">
      <c r="U334" s="52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5"/>
      <c r="BB334" s="5"/>
      <c r="BC334" s="5"/>
    </row>
    <row r="335" ht="15.75" customHeight="1">
      <c r="U335" s="52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5"/>
      <c r="BB335" s="5"/>
      <c r="BC335" s="5"/>
    </row>
    <row r="336" ht="15.75" customHeight="1">
      <c r="U336" s="52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5"/>
      <c r="BB336" s="5"/>
      <c r="BC336" s="5"/>
    </row>
    <row r="337" ht="15.75" customHeight="1">
      <c r="U337" s="52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5"/>
      <c r="BB337" s="5"/>
      <c r="BC337" s="5"/>
    </row>
    <row r="338" ht="15.75" customHeight="1">
      <c r="U338" s="52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5"/>
      <c r="BB338" s="5"/>
      <c r="BC338" s="5"/>
    </row>
    <row r="339" ht="15.75" customHeight="1">
      <c r="U339" s="52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5"/>
      <c r="BB339" s="5"/>
      <c r="BC339" s="5"/>
    </row>
    <row r="340" ht="15.75" customHeight="1">
      <c r="U340" s="52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5"/>
      <c r="BB340" s="5"/>
      <c r="BC340" s="5"/>
    </row>
    <row r="341" ht="15.75" customHeight="1">
      <c r="U341" s="52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5"/>
      <c r="BB341" s="5"/>
      <c r="BC341" s="5"/>
    </row>
    <row r="342" ht="15.75" customHeight="1">
      <c r="U342" s="52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5"/>
      <c r="BB342" s="5"/>
      <c r="BC342" s="5"/>
    </row>
    <row r="343" ht="15.75" customHeight="1">
      <c r="U343" s="52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5"/>
      <c r="BB343" s="5"/>
      <c r="BC343" s="5"/>
    </row>
    <row r="344" ht="15.75" customHeight="1">
      <c r="U344" s="52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5"/>
      <c r="BB344" s="5"/>
      <c r="BC344" s="5"/>
    </row>
    <row r="345" ht="15.75" customHeight="1">
      <c r="U345" s="52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5"/>
      <c r="BB345" s="5"/>
      <c r="BC345" s="5"/>
    </row>
    <row r="346" ht="15.75" customHeight="1">
      <c r="U346" s="52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5"/>
      <c r="BB346" s="5"/>
      <c r="BC346" s="5"/>
    </row>
    <row r="347" ht="15.75" customHeight="1">
      <c r="U347" s="52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5"/>
      <c r="BB347" s="5"/>
      <c r="BC347" s="5"/>
    </row>
    <row r="348" ht="15.75" customHeight="1">
      <c r="U348" s="52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5"/>
      <c r="BB348" s="5"/>
      <c r="BC348" s="5"/>
    </row>
    <row r="349" ht="15.75" customHeight="1">
      <c r="U349" s="52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5"/>
      <c r="BB349" s="5"/>
      <c r="BC349" s="5"/>
    </row>
    <row r="350" ht="15.75" customHeight="1">
      <c r="U350" s="52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5"/>
      <c r="BB350" s="5"/>
      <c r="BC350" s="5"/>
    </row>
    <row r="351" ht="15.75" customHeight="1">
      <c r="U351" s="52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5"/>
      <c r="BB351" s="5"/>
      <c r="BC351" s="5"/>
    </row>
    <row r="352" ht="15.75" customHeight="1">
      <c r="U352" s="52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5"/>
      <c r="BB352" s="5"/>
      <c r="BC352" s="5"/>
    </row>
    <row r="353" ht="15.75" customHeight="1">
      <c r="U353" s="52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5"/>
      <c r="BB353" s="5"/>
      <c r="BC353" s="5"/>
    </row>
    <row r="354" ht="15.75" customHeight="1">
      <c r="U354" s="52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5"/>
      <c r="BB354" s="5"/>
      <c r="BC354" s="5"/>
    </row>
    <row r="355" ht="15.75" customHeight="1">
      <c r="U355" s="52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5"/>
      <c r="BB355" s="5"/>
      <c r="BC355" s="5"/>
    </row>
    <row r="356" ht="15.75" customHeight="1">
      <c r="U356" s="52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5"/>
      <c r="BB356" s="5"/>
      <c r="BC356" s="5"/>
    </row>
    <row r="357" ht="15.75" customHeight="1">
      <c r="U357" s="52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5"/>
      <c r="BB357" s="5"/>
      <c r="BC357" s="5"/>
    </row>
    <row r="358" ht="15.75" customHeight="1">
      <c r="U358" s="52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5"/>
      <c r="BB358" s="5"/>
      <c r="BC358" s="5"/>
    </row>
    <row r="359" ht="15.75" customHeight="1">
      <c r="U359" s="52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5"/>
      <c r="BB359" s="5"/>
      <c r="BC359" s="5"/>
    </row>
    <row r="360" ht="15.75" customHeight="1">
      <c r="U360" s="52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5"/>
      <c r="BB360" s="5"/>
      <c r="BC360" s="5"/>
    </row>
    <row r="361" ht="15.75" customHeight="1">
      <c r="U361" s="52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5"/>
      <c r="BB361" s="5"/>
      <c r="BC361" s="5"/>
    </row>
    <row r="362" ht="15.75" customHeight="1">
      <c r="U362" s="52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5"/>
      <c r="BB362" s="5"/>
      <c r="BC362" s="5"/>
    </row>
    <row r="363" ht="15.75" customHeight="1">
      <c r="U363" s="52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5"/>
      <c r="BB363" s="5"/>
      <c r="BC363" s="5"/>
    </row>
    <row r="364" ht="15.75" customHeight="1">
      <c r="U364" s="52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5"/>
      <c r="BB364" s="5"/>
      <c r="BC364" s="5"/>
    </row>
    <row r="365" ht="15.75" customHeight="1">
      <c r="U365" s="52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5"/>
      <c r="BB365" s="5"/>
      <c r="BC365" s="5"/>
    </row>
    <row r="366" ht="15.75" customHeight="1">
      <c r="U366" s="52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5"/>
      <c r="BB366" s="5"/>
      <c r="BC366" s="5"/>
    </row>
    <row r="367" ht="15.75" customHeight="1">
      <c r="U367" s="52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5"/>
      <c r="BB367" s="5"/>
      <c r="BC367" s="5"/>
    </row>
    <row r="368" ht="15.75" customHeight="1">
      <c r="U368" s="52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5"/>
      <c r="BB368" s="5"/>
      <c r="BC368" s="5"/>
    </row>
    <row r="369" ht="15.75" customHeight="1">
      <c r="U369" s="52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5"/>
      <c r="BB369" s="5"/>
      <c r="BC369" s="5"/>
    </row>
    <row r="370" ht="15.75" customHeight="1">
      <c r="U370" s="52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5"/>
      <c r="BB370" s="5"/>
      <c r="BC370" s="5"/>
    </row>
    <row r="371" ht="15.75" customHeight="1">
      <c r="U371" s="52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5"/>
      <c r="BB371" s="5"/>
      <c r="BC371" s="5"/>
    </row>
    <row r="372" ht="15.75" customHeight="1">
      <c r="U372" s="52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5"/>
      <c r="BB372" s="5"/>
      <c r="BC372" s="5"/>
    </row>
    <row r="373" ht="15.75" customHeight="1">
      <c r="U373" s="52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5"/>
      <c r="BB373" s="5"/>
      <c r="BC373" s="5"/>
    </row>
    <row r="374" ht="15.75" customHeight="1">
      <c r="U374" s="52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5"/>
      <c r="BB374" s="5"/>
      <c r="BC374" s="5"/>
    </row>
    <row r="375" ht="15.75" customHeight="1">
      <c r="U375" s="52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5"/>
      <c r="BB375" s="5"/>
      <c r="BC375" s="5"/>
    </row>
    <row r="376" ht="15.75" customHeight="1">
      <c r="U376" s="52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5"/>
      <c r="BB376" s="5"/>
      <c r="BC376" s="5"/>
    </row>
    <row r="377" ht="15.75" customHeight="1">
      <c r="U377" s="52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5"/>
      <c r="BB377" s="5"/>
      <c r="BC377" s="5"/>
    </row>
    <row r="378" ht="15.75" customHeight="1">
      <c r="U378" s="52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5"/>
      <c r="BB378" s="5"/>
      <c r="BC378" s="5"/>
    </row>
    <row r="379" ht="15.75" customHeight="1">
      <c r="U379" s="52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5"/>
      <c r="BB379" s="5"/>
      <c r="BC379" s="5"/>
    </row>
    <row r="380" ht="15.75" customHeight="1">
      <c r="U380" s="52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5"/>
      <c r="BB380" s="5"/>
      <c r="BC380" s="5"/>
    </row>
    <row r="381" ht="15.75" customHeight="1">
      <c r="U381" s="52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5"/>
      <c r="BB381" s="5"/>
      <c r="BC381" s="5"/>
    </row>
    <row r="382" ht="15.75" customHeight="1">
      <c r="U382" s="52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5"/>
      <c r="BB382" s="5"/>
      <c r="BC382" s="5"/>
    </row>
    <row r="383" ht="15.75" customHeight="1">
      <c r="U383" s="52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5"/>
      <c r="BB383" s="5"/>
      <c r="BC383" s="5"/>
    </row>
    <row r="384" ht="15.75" customHeight="1">
      <c r="U384" s="52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5"/>
      <c r="BB384" s="5"/>
      <c r="BC384" s="5"/>
    </row>
    <row r="385" ht="15.75" customHeight="1">
      <c r="U385" s="52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5"/>
      <c r="BB385" s="5"/>
      <c r="BC385" s="5"/>
    </row>
    <row r="386" ht="15.75" customHeight="1">
      <c r="U386" s="52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5"/>
      <c r="BB386" s="5"/>
      <c r="BC386" s="5"/>
    </row>
    <row r="387" ht="15.75" customHeight="1">
      <c r="U387" s="52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5"/>
      <c r="BB387" s="5"/>
      <c r="BC387" s="5"/>
    </row>
    <row r="388" ht="15.75" customHeight="1">
      <c r="U388" s="52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5"/>
      <c r="BB388" s="5"/>
      <c r="BC388" s="5"/>
    </row>
    <row r="389" ht="15.75" customHeight="1">
      <c r="U389" s="52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5"/>
      <c r="BB389" s="5"/>
      <c r="BC389" s="5"/>
    </row>
    <row r="390" ht="15.75" customHeight="1">
      <c r="U390" s="52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5"/>
      <c r="BB390" s="5"/>
      <c r="BC390" s="5"/>
    </row>
    <row r="391" ht="15.75" customHeight="1">
      <c r="U391" s="52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5"/>
      <c r="BB391" s="5"/>
      <c r="BC391" s="5"/>
    </row>
    <row r="392" ht="15.75" customHeight="1">
      <c r="U392" s="52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5"/>
      <c r="BB392" s="5"/>
      <c r="BC392" s="5"/>
    </row>
    <row r="393" ht="15.75" customHeight="1">
      <c r="U393" s="52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5"/>
      <c r="BB393" s="5"/>
      <c r="BC393" s="5"/>
    </row>
    <row r="394" ht="15.75" customHeight="1">
      <c r="U394" s="52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5"/>
      <c r="BB394" s="5"/>
      <c r="BC394" s="5"/>
    </row>
    <row r="395" ht="15.75" customHeight="1">
      <c r="U395" s="52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5"/>
      <c r="BB395" s="5"/>
      <c r="BC395" s="5"/>
    </row>
    <row r="396" ht="15.75" customHeight="1">
      <c r="U396" s="52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5"/>
      <c r="BB396" s="5"/>
      <c r="BC396" s="5"/>
    </row>
    <row r="397" ht="15.75" customHeight="1">
      <c r="U397" s="52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5"/>
      <c r="BB397" s="5"/>
      <c r="BC397" s="5"/>
    </row>
    <row r="398" ht="15.75" customHeight="1">
      <c r="U398" s="52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5"/>
      <c r="BB398" s="5"/>
      <c r="BC398" s="5"/>
    </row>
    <row r="399" ht="15.75" customHeight="1">
      <c r="U399" s="52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5"/>
      <c r="BB399" s="5"/>
      <c r="BC399" s="5"/>
    </row>
    <row r="400" ht="15.75" customHeight="1">
      <c r="U400" s="52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5"/>
      <c r="BB400" s="5"/>
      <c r="BC400" s="5"/>
    </row>
    <row r="401" ht="15.75" customHeight="1">
      <c r="U401" s="52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5"/>
      <c r="BB401" s="5"/>
      <c r="BC401" s="5"/>
    </row>
    <row r="402" ht="15.75" customHeight="1">
      <c r="U402" s="52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5"/>
      <c r="BB402" s="5"/>
      <c r="BC402" s="5"/>
    </row>
    <row r="403" ht="15.75" customHeight="1">
      <c r="U403" s="52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5"/>
      <c r="BB403" s="5"/>
      <c r="BC403" s="5"/>
    </row>
    <row r="404" ht="15.75" customHeight="1">
      <c r="U404" s="52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5"/>
      <c r="BB404" s="5"/>
      <c r="BC404" s="5"/>
    </row>
    <row r="405" ht="15.75" customHeight="1">
      <c r="U405" s="52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5"/>
      <c r="BB405" s="5"/>
      <c r="BC405" s="5"/>
    </row>
    <row r="406" ht="15.75" customHeight="1">
      <c r="U406" s="52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5"/>
      <c r="BB406" s="5"/>
      <c r="BC406" s="5"/>
    </row>
    <row r="407" ht="15.75" customHeight="1">
      <c r="U407" s="52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5"/>
      <c r="BB407" s="5"/>
      <c r="BC407" s="5"/>
    </row>
    <row r="408" ht="15.75" customHeight="1">
      <c r="U408" s="52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5"/>
      <c r="BB408" s="5"/>
      <c r="BC408" s="5"/>
    </row>
    <row r="409" ht="15.75" customHeight="1">
      <c r="U409" s="52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5"/>
      <c r="BB409" s="5"/>
      <c r="BC409" s="5"/>
    </row>
    <row r="410" ht="15.75" customHeight="1">
      <c r="U410" s="52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5"/>
      <c r="BB410" s="5"/>
      <c r="BC410" s="5"/>
    </row>
    <row r="411" ht="15.75" customHeight="1">
      <c r="U411" s="52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5"/>
      <c r="BB411" s="5"/>
      <c r="BC411" s="5"/>
    </row>
    <row r="412" ht="15.75" customHeight="1">
      <c r="U412" s="52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5"/>
      <c r="BB412" s="5"/>
      <c r="BC412" s="5"/>
    </row>
    <row r="413" ht="15.75" customHeight="1">
      <c r="U413" s="52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5"/>
      <c r="BB413" s="5"/>
      <c r="BC413" s="5"/>
    </row>
    <row r="414" ht="15.75" customHeight="1">
      <c r="U414" s="52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5"/>
      <c r="BB414" s="5"/>
      <c r="BC414" s="5"/>
    </row>
    <row r="415" ht="15.75" customHeight="1">
      <c r="U415" s="52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5"/>
      <c r="BB415" s="5"/>
      <c r="BC415" s="5"/>
    </row>
    <row r="416" ht="15.75" customHeight="1">
      <c r="U416" s="52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5"/>
      <c r="BB416" s="5"/>
      <c r="BC416" s="5"/>
    </row>
    <row r="417" ht="15.75" customHeight="1">
      <c r="U417" s="52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5"/>
      <c r="BB417" s="5"/>
      <c r="BC417" s="5"/>
    </row>
    <row r="418" ht="15.75" customHeight="1">
      <c r="U418" s="52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5"/>
      <c r="BB418" s="5"/>
      <c r="BC418" s="5"/>
    </row>
    <row r="419" ht="15.75" customHeight="1">
      <c r="U419" s="52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5"/>
      <c r="BB419" s="5"/>
      <c r="BC419" s="5"/>
    </row>
    <row r="420" ht="15.75" customHeight="1">
      <c r="U420" s="52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5"/>
      <c r="BB420" s="5"/>
      <c r="BC420" s="5"/>
    </row>
    <row r="421" ht="15.75" customHeight="1">
      <c r="U421" s="52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5"/>
      <c r="BB421" s="5"/>
      <c r="BC421" s="5"/>
    </row>
    <row r="422" ht="15.75" customHeight="1">
      <c r="U422" s="52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5"/>
      <c r="BB422" s="5"/>
      <c r="BC422" s="5"/>
    </row>
    <row r="423" ht="15.75" customHeight="1">
      <c r="U423" s="52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5"/>
      <c r="BB423" s="5"/>
      <c r="BC423" s="5"/>
    </row>
    <row r="424" ht="15.75" customHeight="1">
      <c r="U424" s="52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5"/>
      <c r="BB424" s="5"/>
      <c r="BC424" s="5"/>
    </row>
    <row r="425" ht="15.75" customHeight="1">
      <c r="U425" s="52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5"/>
      <c r="BB425" s="5"/>
      <c r="BC425" s="5"/>
    </row>
    <row r="426" ht="15.75" customHeight="1">
      <c r="U426" s="52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5"/>
      <c r="BB426" s="5"/>
      <c r="BC426" s="5"/>
    </row>
    <row r="427" ht="15.75" customHeight="1">
      <c r="U427" s="52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5"/>
      <c r="BB427" s="5"/>
      <c r="BC427" s="5"/>
    </row>
    <row r="428" ht="15.75" customHeight="1">
      <c r="U428" s="52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5"/>
      <c r="BB428" s="5"/>
      <c r="BC428" s="5"/>
    </row>
    <row r="429" ht="15.75" customHeight="1">
      <c r="U429" s="52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5"/>
      <c r="BB429" s="5"/>
      <c r="BC429" s="5"/>
    </row>
    <row r="430" ht="15.75" customHeight="1">
      <c r="U430" s="52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5"/>
      <c r="BB430" s="5"/>
      <c r="BC430" s="5"/>
    </row>
    <row r="431" ht="15.75" customHeight="1">
      <c r="U431" s="52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5"/>
      <c r="BB431" s="5"/>
      <c r="BC431" s="5"/>
    </row>
    <row r="432" ht="15.75" customHeight="1">
      <c r="U432" s="52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5"/>
      <c r="BB432" s="5"/>
      <c r="BC432" s="5"/>
    </row>
    <row r="433" ht="15.75" customHeight="1">
      <c r="U433" s="52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5"/>
      <c r="BB433" s="5"/>
      <c r="BC433" s="5"/>
    </row>
    <row r="434" ht="15.75" customHeight="1">
      <c r="U434" s="52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5"/>
      <c r="BB434" s="5"/>
      <c r="BC434" s="5"/>
    </row>
    <row r="435" ht="15.75" customHeight="1">
      <c r="U435" s="52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5"/>
      <c r="BB435" s="5"/>
      <c r="BC435" s="5"/>
    </row>
    <row r="436" ht="15.75" customHeight="1">
      <c r="U436" s="52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5"/>
      <c r="BB436" s="5"/>
      <c r="BC436" s="5"/>
    </row>
    <row r="437" ht="15.75" customHeight="1">
      <c r="U437" s="52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5"/>
      <c r="BB437" s="5"/>
      <c r="BC437" s="5"/>
    </row>
    <row r="438" ht="15.75" customHeight="1">
      <c r="U438" s="52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5"/>
      <c r="BB438" s="5"/>
      <c r="BC438" s="5"/>
    </row>
    <row r="439" ht="15.75" customHeight="1">
      <c r="U439" s="52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5"/>
      <c r="BB439" s="5"/>
      <c r="BC439" s="5"/>
    </row>
    <row r="440" ht="15.75" customHeight="1">
      <c r="U440" s="52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5"/>
      <c r="BB440" s="5"/>
      <c r="BC440" s="5"/>
    </row>
    <row r="441" ht="15.75" customHeight="1">
      <c r="U441" s="52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5"/>
      <c r="BB441" s="5"/>
      <c r="BC441" s="5"/>
    </row>
    <row r="442" ht="15.75" customHeight="1">
      <c r="U442" s="52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5"/>
      <c r="BB442" s="5"/>
      <c r="BC442" s="5"/>
    </row>
    <row r="443" ht="15.75" customHeight="1">
      <c r="U443" s="52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5"/>
      <c r="BB443" s="5"/>
      <c r="BC443" s="5"/>
    </row>
    <row r="444" ht="15.75" customHeight="1">
      <c r="U444" s="52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5"/>
      <c r="BB444" s="5"/>
      <c r="BC444" s="5"/>
    </row>
    <row r="445" ht="15.75" customHeight="1">
      <c r="U445" s="52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5"/>
      <c r="BB445" s="5"/>
      <c r="BC445" s="5"/>
    </row>
    <row r="446" ht="15.75" customHeight="1">
      <c r="U446" s="52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5"/>
      <c r="BB446" s="5"/>
      <c r="BC446" s="5"/>
    </row>
    <row r="447" ht="15.75" customHeight="1">
      <c r="U447" s="52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5"/>
      <c r="BB447" s="5"/>
      <c r="BC447" s="5"/>
    </row>
    <row r="448" ht="15.75" customHeight="1">
      <c r="U448" s="52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5"/>
      <c r="BB448" s="5"/>
      <c r="BC448" s="5"/>
    </row>
    <row r="449" ht="15.75" customHeight="1">
      <c r="U449" s="52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5"/>
      <c r="BB449" s="5"/>
      <c r="BC449" s="5"/>
    </row>
    <row r="450" ht="15.75" customHeight="1">
      <c r="U450" s="52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5"/>
      <c r="BB450" s="5"/>
      <c r="BC450" s="5"/>
    </row>
    <row r="451" ht="15.75" customHeight="1">
      <c r="U451" s="52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5"/>
      <c r="BB451" s="5"/>
      <c r="BC451" s="5"/>
    </row>
    <row r="452" ht="15.75" customHeight="1">
      <c r="U452" s="52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5"/>
      <c r="BB452" s="5"/>
      <c r="BC452" s="5"/>
    </row>
    <row r="453" ht="15.75" customHeight="1">
      <c r="U453" s="52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5"/>
      <c r="BB453" s="5"/>
      <c r="BC453" s="5"/>
    </row>
    <row r="454" ht="15.75" customHeight="1">
      <c r="U454" s="52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5"/>
      <c r="BB454" s="5"/>
      <c r="BC454" s="5"/>
    </row>
    <row r="455" ht="15.75" customHeight="1">
      <c r="U455" s="52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5"/>
      <c r="BB455" s="5"/>
      <c r="BC455" s="5"/>
    </row>
    <row r="456" ht="15.75" customHeight="1">
      <c r="U456" s="52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5"/>
      <c r="BB456" s="5"/>
      <c r="BC456" s="5"/>
    </row>
    <row r="457" ht="15.75" customHeight="1">
      <c r="U457" s="52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5"/>
      <c r="BB457" s="5"/>
      <c r="BC457" s="5"/>
    </row>
    <row r="458" ht="15.75" customHeight="1">
      <c r="U458" s="52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5"/>
      <c r="BB458" s="5"/>
      <c r="BC458" s="5"/>
    </row>
    <row r="459" ht="15.75" customHeight="1">
      <c r="U459" s="52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5"/>
      <c r="BB459" s="5"/>
      <c r="BC459" s="5"/>
    </row>
    <row r="460" ht="15.75" customHeight="1">
      <c r="U460" s="52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5"/>
      <c r="BB460" s="5"/>
      <c r="BC460" s="5"/>
    </row>
    <row r="461" ht="15.75" customHeight="1">
      <c r="U461" s="52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5"/>
      <c r="BB461" s="5"/>
      <c r="BC461" s="5"/>
    </row>
    <row r="462" ht="15.75" customHeight="1">
      <c r="U462" s="52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5"/>
      <c r="BB462" s="5"/>
      <c r="BC462" s="5"/>
    </row>
    <row r="463" ht="15.75" customHeight="1">
      <c r="U463" s="52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5"/>
      <c r="BB463" s="5"/>
      <c r="BC463" s="5"/>
    </row>
    <row r="464" ht="15.75" customHeight="1">
      <c r="U464" s="52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5"/>
      <c r="BB464" s="5"/>
      <c r="BC464" s="5"/>
    </row>
    <row r="465" ht="15.75" customHeight="1">
      <c r="U465" s="52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5"/>
      <c r="BB465" s="5"/>
      <c r="BC465" s="5"/>
    </row>
    <row r="466" ht="15.75" customHeight="1">
      <c r="U466" s="52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5"/>
      <c r="BB466" s="5"/>
      <c r="BC466" s="5"/>
    </row>
    <row r="467" ht="15.75" customHeight="1">
      <c r="U467" s="52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5"/>
      <c r="BB467" s="5"/>
      <c r="BC467" s="5"/>
    </row>
    <row r="468" ht="15.75" customHeight="1">
      <c r="U468" s="52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5"/>
      <c r="BB468" s="5"/>
      <c r="BC468" s="5"/>
    </row>
    <row r="469" ht="15.75" customHeight="1">
      <c r="U469" s="52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5"/>
      <c r="BB469" s="5"/>
      <c r="BC469" s="5"/>
    </row>
    <row r="470" ht="15.75" customHeight="1">
      <c r="U470" s="52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5"/>
      <c r="BB470" s="5"/>
      <c r="BC470" s="5"/>
    </row>
    <row r="471" ht="15.75" customHeight="1">
      <c r="U471" s="52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5"/>
      <c r="BB471" s="5"/>
      <c r="BC471" s="5"/>
    </row>
    <row r="472" ht="15.75" customHeight="1">
      <c r="U472" s="52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5"/>
      <c r="BB472" s="5"/>
      <c r="BC472" s="5"/>
    </row>
    <row r="473" ht="15.75" customHeight="1">
      <c r="U473" s="52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5"/>
      <c r="BB473" s="5"/>
      <c r="BC473" s="5"/>
    </row>
    <row r="474" ht="15.75" customHeight="1">
      <c r="U474" s="52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5"/>
      <c r="BB474" s="5"/>
      <c r="BC474" s="5"/>
    </row>
    <row r="475" ht="15.75" customHeight="1">
      <c r="U475" s="52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5"/>
      <c r="BB475" s="5"/>
      <c r="BC475" s="5"/>
    </row>
    <row r="476" ht="15.75" customHeight="1">
      <c r="U476" s="52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5"/>
      <c r="BB476" s="5"/>
      <c r="BC476" s="5"/>
    </row>
    <row r="477" ht="15.75" customHeight="1">
      <c r="U477" s="52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5"/>
      <c r="BB477" s="5"/>
      <c r="BC477" s="5"/>
    </row>
    <row r="478" ht="15.75" customHeight="1">
      <c r="U478" s="52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5"/>
      <c r="BB478" s="5"/>
      <c r="BC478" s="5"/>
    </row>
    <row r="479" ht="15.75" customHeight="1">
      <c r="U479" s="52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5"/>
      <c r="BB479" s="5"/>
      <c r="BC479" s="5"/>
    </row>
    <row r="480" ht="15.75" customHeight="1">
      <c r="U480" s="52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5"/>
      <c r="BB480" s="5"/>
      <c r="BC480" s="5"/>
    </row>
    <row r="481" ht="15.75" customHeight="1">
      <c r="U481" s="52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5"/>
      <c r="BB481" s="5"/>
      <c r="BC481" s="5"/>
    </row>
    <row r="482" ht="15.75" customHeight="1">
      <c r="U482" s="52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5"/>
      <c r="BB482" s="5"/>
      <c r="BC482" s="5"/>
    </row>
    <row r="483" ht="15.75" customHeight="1">
      <c r="U483" s="52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5"/>
      <c r="BB483" s="5"/>
      <c r="BC483" s="5"/>
    </row>
    <row r="484" ht="15.75" customHeight="1">
      <c r="U484" s="52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5"/>
      <c r="BB484" s="5"/>
      <c r="BC484" s="5"/>
    </row>
    <row r="485" ht="15.75" customHeight="1">
      <c r="U485" s="52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5"/>
      <c r="BB485" s="5"/>
      <c r="BC485" s="5"/>
    </row>
    <row r="486" ht="15.75" customHeight="1">
      <c r="U486" s="52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5"/>
      <c r="BB486" s="5"/>
      <c r="BC486" s="5"/>
    </row>
    <row r="487" ht="15.75" customHeight="1">
      <c r="U487" s="52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5"/>
      <c r="BB487" s="5"/>
      <c r="BC487" s="5"/>
    </row>
    <row r="488" ht="15.75" customHeight="1">
      <c r="U488" s="52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5"/>
      <c r="BB488" s="5"/>
      <c r="BC488" s="5"/>
    </row>
    <row r="489" ht="15.75" customHeight="1">
      <c r="U489" s="52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5"/>
      <c r="BB489" s="5"/>
      <c r="BC489" s="5"/>
    </row>
    <row r="490" ht="15.75" customHeight="1">
      <c r="U490" s="52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5"/>
      <c r="BB490" s="5"/>
      <c r="BC490" s="5"/>
    </row>
    <row r="491" ht="15.75" customHeight="1">
      <c r="U491" s="52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5"/>
      <c r="BB491" s="5"/>
      <c r="BC491" s="5"/>
    </row>
    <row r="492" ht="15.75" customHeight="1">
      <c r="U492" s="52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5"/>
      <c r="BB492" s="5"/>
      <c r="BC492" s="5"/>
    </row>
    <row r="493" ht="15.75" customHeight="1">
      <c r="U493" s="52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5"/>
      <c r="BB493" s="5"/>
      <c r="BC493" s="5"/>
    </row>
    <row r="494" ht="15.75" customHeight="1">
      <c r="U494" s="52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5"/>
      <c r="BB494" s="5"/>
      <c r="BC494" s="5"/>
    </row>
    <row r="495" ht="15.75" customHeight="1">
      <c r="U495" s="52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5"/>
      <c r="BB495" s="5"/>
      <c r="BC495" s="5"/>
    </row>
    <row r="496" ht="15.75" customHeight="1">
      <c r="U496" s="52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5"/>
      <c r="BB496" s="5"/>
      <c r="BC496" s="5"/>
    </row>
    <row r="497" ht="15.75" customHeight="1">
      <c r="U497" s="52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5"/>
      <c r="BB497" s="5"/>
      <c r="BC497" s="5"/>
    </row>
    <row r="498" ht="15.75" customHeight="1">
      <c r="U498" s="52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5"/>
      <c r="BB498" s="5"/>
      <c r="BC498" s="5"/>
    </row>
    <row r="499" ht="15.75" customHeight="1">
      <c r="U499" s="52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5"/>
      <c r="BB499" s="5"/>
      <c r="BC499" s="5"/>
    </row>
    <row r="500" ht="15.75" customHeight="1">
      <c r="U500" s="52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5"/>
      <c r="BB500" s="5"/>
      <c r="BC500" s="5"/>
    </row>
    <row r="501" ht="15.75" customHeight="1">
      <c r="U501" s="52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5"/>
      <c r="BB501" s="5"/>
      <c r="BC501" s="5"/>
    </row>
    <row r="502" ht="15.75" customHeight="1">
      <c r="U502" s="52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5"/>
      <c r="BB502" s="5"/>
      <c r="BC502" s="5"/>
    </row>
    <row r="503" ht="15.75" customHeight="1">
      <c r="U503" s="52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5"/>
      <c r="BB503" s="5"/>
      <c r="BC503" s="5"/>
    </row>
    <row r="504" ht="15.75" customHeight="1">
      <c r="U504" s="52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5"/>
      <c r="BB504" s="5"/>
      <c r="BC504" s="5"/>
    </row>
    <row r="505" ht="15.75" customHeight="1">
      <c r="U505" s="52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5"/>
      <c r="BB505" s="5"/>
      <c r="BC505" s="5"/>
    </row>
    <row r="506" ht="15.75" customHeight="1">
      <c r="U506" s="52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5"/>
      <c r="BB506" s="5"/>
      <c r="BC506" s="5"/>
    </row>
    <row r="507" ht="15.75" customHeight="1">
      <c r="U507" s="52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5"/>
      <c r="BB507" s="5"/>
      <c r="BC507" s="5"/>
    </row>
    <row r="508" ht="15.75" customHeight="1">
      <c r="U508" s="52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5"/>
      <c r="BB508" s="5"/>
      <c r="BC508" s="5"/>
    </row>
    <row r="509" ht="15.75" customHeight="1">
      <c r="U509" s="52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5"/>
      <c r="BB509" s="5"/>
      <c r="BC509" s="5"/>
    </row>
    <row r="510" ht="15.75" customHeight="1">
      <c r="U510" s="52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5"/>
      <c r="BB510" s="5"/>
      <c r="BC510" s="5"/>
    </row>
    <row r="511" ht="15.75" customHeight="1">
      <c r="U511" s="52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5"/>
      <c r="BB511" s="5"/>
      <c r="BC511" s="5"/>
    </row>
    <row r="512" ht="15.75" customHeight="1">
      <c r="U512" s="52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5"/>
      <c r="BB512" s="5"/>
      <c r="BC512" s="5"/>
    </row>
    <row r="513" ht="15.75" customHeight="1">
      <c r="U513" s="52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5"/>
      <c r="BB513" s="5"/>
      <c r="BC513" s="5"/>
    </row>
    <row r="514" ht="15.75" customHeight="1">
      <c r="U514" s="52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5"/>
      <c r="BB514" s="5"/>
      <c r="BC514" s="5"/>
    </row>
    <row r="515" ht="15.75" customHeight="1">
      <c r="U515" s="52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5"/>
      <c r="BB515" s="5"/>
      <c r="BC515" s="5"/>
    </row>
    <row r="516" ht="15.75" customHeight="1">
      <c r="U516" s="52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5"/>
      <c r="BB516" s="5"/>
      <c r="BC516" s="5"/>
    </row>
    <row r="517" ht="15.75" customHeight="1">
      <c r="U517" s="52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5"/>
      <c r="BB517" s="5"/>
      <c r="BC517" s="5"/>
    </row>
    <row r="518" ht="15.75" customHeight="1">
      <c r="U518" s="52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5"/>
      <c r="BB518" s="5"/>
      <c r="BC518" s="5"/>
    </row>
    <row r="519" ht="15.75" customHeight="1">
      <c r="U519" s="52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5"/>
      <c r="BB519" s="5"/>
      <c r="BC519" s="5"/>
    </row>
    <row r="520" ht="15.75" customHeight="1">
      <c r="U520" s="52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5"/>
      <c r="BB520" s="5"/>
      <c r="BC520" s="5"/>
    </row>
    <row r="521" ht="15.75" customHeight="1">
      <c r="U521" s="52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5"/>
      <c r="BB521" s="5"/>
      <c r="BC521" s="5"/>
    </row>
    <row r="522" ht="15.75" customHeight="1">
      <c r="U522" s="52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5"/>
      <c r="BB522" s="5"/>
      <c r="BC522" s="5"/>
    </row>
    <row r="523" ht="15.75" customHeight="1">
      <c r="U523" s="52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5"/>
      <c r="BB523" s="5"/>
      <c r="BC523" s="5"/>
    </row>
    <row r="524" ht="15.75" customHeight="1">
      <c r="U524" s="52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5"/>
      <c r="BB524" s="5"/>
      <c r="BC524" s="5"/>
    </row>
    <row r="525" ht="15.75" customHeight="1">
      <c r="U525" s="52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5"/>
      <c r="BB525" s="5"/>
      <c r="BC525" s="5"/>
    </row>
    <row r="526" ht="15.75" customHeight="1">
      <c r="U526" s="52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5"/>
      <c r="BB526" s="5"/>
      <c r="BC526" s="5"/>
    </row>
    <row r="527" ht="15.75" customHeight="1">
      <c r="U527" s="52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5"/>
      <c r="BB527" s="5"/>
      <c r="BC527" s="5"/>
    </row>
    <row r="528" ht="15.75" customHeight="1">
      <c r="U528" s="52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5"/>
      <c r="BB528" s="5"/>
      <c r="BC528" s="5"/>
    </row>
    <row r="529" ht="15.75" customHeight="1">
      <c r="U529" s="52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5"/>
      <c r="BB529" s="5"/>
      <c r="BC529" s="5"/>
    </row>
    <row r="530" ht="15.75" customHeight="1">
      <c r="U530" s="52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5"/>
      <c r="BB530" s="5"/>
      <c r="BC530" s="5"/>
    </row>
    <row r="531" ht="15.75" customHeight="1">
      <c r="U531" s="52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5"/>
      <c r="BB531" s="5"/>
      <c r="BC531" s="5"/>
    </row>
    <row r="532" ht="15.75" customHeight="1">
      <c r="U532" s="52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5"/>
      <c r="BB532" s="5"/>
      <c r="BC532" s="5"/>
    </row>
    <row r="533" ht="15.75" customHeight="1">
      <c r="U533" s="52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5"/>
      <c r="BB533" s="5"/>
      <c r="BC533" s="5"/>
    </row>
    <row r="534" ht="15.75" customHeight="1">
      <c r="U534" s="52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5"/>
      <c r="BB534" s="5"/>
      <c r="BC534" s="5"/>
    </row>
    <row r="535" ht="15.75" customHeight="1">
      <c r="U535" s="52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5"/>
      <c r="BB535" s="5"/>
      <c r="BC535" s="5"/>
    </row>
    <row r="536" ht="15.75" customHeight="1">
      <c r="U536" s="52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5"/>
      <c r="BB536" s="5"/>
      <c r="BC536" s="5"/>
    </row>
    <row r="537" ht="15.75" customHeight="1">
      <c r="U537" s="52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5"/>
      <c r="BB537" s="5"/>
      <c r="BC537" s="5"/>
    </row>
    <row r="538" ht="15.75" customHeight="1">
      <c r="U538" s="52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5"/>
      <c r="BB538" s="5"/>
      <c r="BC538" s="5"/>
    </row>
    <row r="539" ht="15.75" customHeight="1">
      <c r="U539" s="52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5"/>
      <c r="BB539" s="5"/>
      <c r="BC539" s="5"/>
    </row>
    <row r="540" ht="15.75" customHeight="1">
      <c r="U540" s="52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5"/>
      <c r="BB540" s="5"/>
      <c r="BC540" s="5"/>
    </row>
    <row r="541" ht="15.75" customHeight="1">
      <c r="U541" s="52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5"/>
      <c r="BB541" s="5"/>
      <c r="BC541" s="5"/>
    </row>
    <row r="542" ht="15.75" customHeight="1">
      <c r="U542" s="52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5"/>
      <c r="BB542" s="5"/>
      <c r="BC542" s="5"/>
    </row>
    <row r="543" ht="15.75" customHeight="1">
      <c r="U543" s="52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5"/>
      <c r="BB543" s="5"/>
      <c r="BC543" s="5"/>
    </row>
    <row r="544" ht="15.75" customHeight="1">
      <c r="U544" s="52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5"/>
      <c r="BB544" s="5"/>
      <c r="BC544" s="5"/>
    </row>
    <row r="545" ht="15.75" customHeight="1">
      <c r="U545" s="52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5"/>
      <c r="BB545" s="5"/>
      <c r="BC545" s="5"/>
    </row>
    <row r="546" ht="15.75" customHeight="1">
      <c r="U546" s="52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5"/>
      <c r="BB546" s="5"/>
      <c r="BC546" s="5"/>
    </row>
    <row r="547" ht="15.75" customHeight="1">
      <c r="U547" s="52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5"/>
      <c r="BB547" s="5"/>
      <c r="BC547" s="5"/>
    </row>
    <row r="548" ht="15.75" customHeight="1">
      <c r="U548" s="52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5"/>
      <c r="BB548" s="5"/>
      <c r="BC548" s="5"/>
    </row>
    <row r="549" ht="15.75" customHeight="1">
      <c r="U549" s="52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5"/>
      <c r="BB549" s="5"/>
      <c r="BC549" s="5"/>
    </row>
    <row r="550" ht="15.75" customHeight="1">
      <c r="U550" s="52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5"/>
      <c r="BB550" s="5"/>
      <c r="BC550" s="5"/>
    </row>
    <row r="551" ht="15.75" customHeight="1">
      <c r="U551" s="52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5"/>
      <c r="BB551" s="5"/>
      <c r="BC551" s="5"/>
    </row>
    <row r="552" ht="15.75" customHeight="1">
      <c r="U552" s="52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5"/>
      <c r="BB552" s="5"/>
      <c r="BC552" s="5"/>
    </row>
    <row r="553" ht="15.75" customHeight="1">
      <c r="U553" s="52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5"/>
      <c r="BB553" s="5"/>
      <c r="BC553" s="5"/>
    </row>
    <row r="554" ht="15.75" customHeight="1">
      <c r="U554" s="52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5"/>
      <c r="BB554" s="5"/>
      <c r="BC554" s="5"/>
    </row>
    <row r="555" ht="15.75" customHeight="1">
      <c r="U555" s="52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5"/>
      <c r="BB555" s="5"/>
      <c r="BC555" s="5"/>
    </row>
    <row r="556" ht="15.75" customHeight="1">
      <c r="U556" s="52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5"/>
      <c r="BB556" s="5"/>
      <c r="BC556" s="5"/>
    </row>
    <row r="557" ht="15.75" customHeight="1">
      <c r="U557" s="52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5"/>
      <c r="BB557" s="5"/>
      <c r="BC557" s="5"/>
    </row>
    <row r="558" ht="15.75" customHeight="1">
      <c r="U558" s="52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5"/>
      <c r="BB558" s="5"/>
      <c r="BC558" s="5"/>
    </row>
    <row r="559" ht="15.75" customHeight="1">
      <c r="U559" s="52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5"/>
      <c r="BB559" s="5"/>
      <c r="BC559" s="5"/>
    </row>
    <row r="560" ht="15.75" customHeight="1">
      <c r="U560" s="52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5"/>
      <c r="BB560" s="5"/>
      <c r="BC560" s="5"/>
    </row>
    <row r="561" ht="15.75" customHeight="1">
      <c r="U561" s="52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5"/>
      <c r="BB561" s="5"/>
      <c r="BC561" s="5"/>
    </row>
    <row r="562" ht="15.75" customHeight="1">
      <c r="U562" s="52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5"/>
      <c r="BB562" s="5"/>
      <c r="BC562" s="5"/>
    </row>
    <row r="563" ht="15.75" customHeight="1">
      <c r="U563" s="52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5"/>
      <c r="BB563" s="5"/>
      <c r="BC563" s="5"/>
    </row>
    <row r="564" ht="15.75" customHeight="1">
      <c r="U564" s="52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5"/>
      <c r="BB564" s="5"/>
      <c r="BC564" s="5"/>
    </row>
    <row r="565" ht="15.75" customHeight="1">
      <c r="U565" s="52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5"/>
      <c r="BB565" s="5"/>
      <c r="BC565" s="5"/>
    </row>
    <row r="566" ht="15.75" customHeight="1">
      <c r="U566" s="52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5"/>
      <c r="BB566" s="5"/>
      <c r="BC566" s="5"/>
    </row>
    <row r="567" ht="15.75" customHeight="1">
      <c r="U567" s="52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5"/>
      <c r="BB567" s="5"/>
      <c r="BC567" s="5"/>
    </row>
    <row r="568" ht="15.75" customHeight="1">
      <c r="U568" s="52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5"/>
      <c r="BB568" s="5"/>
      <c r="BC568" s="5"/>
    </row>
    <row r="569" ht="15.75" customHeight="1">
      <c r="U569" s="52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5"/>
      <c r="BB569" s="5"/>
      <c r="BC569" s="5"/>
    </row>
    <row r="570" ht="15.75" customHeight="1">
      <c r="U570" s="52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5"/>
      <c r="BB570" s="5"/>
      <c r="BC570" s="5"/>
    </row>
    <row r="571" ht="15.75" customHeight="1">
      <c r="U571" s="52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5"/>
      <c r="BB571" s="5"/>
      <c r="BC571" s="5"/>
    </row>
    <row r="572" ht="15.75" customHeight="1">
      <c r="U572" s="52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5"/>
      <c r="BB572" s="5"/>
      <c r="BC572" s="5"/>
    </row>
    <row r="573" ht="15.75" customHeight="1">
      <c r="U573" s="52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5"/>
      <c r="BB573" s="5"/>
      <c r="BC573" s="5"/>
    </row>
    <row r="574" ht="15.75" customHeight="1">
      <c r="U574" s="52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5"/>
      <c r="BB574" s="5"/>
      <c r="BC574" s="5"/>
    </row>
    <row r="575" ht="15.75" customHeight="1">
      <c r="U575" s="52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5"/>
      <c r="BB575" s="5"/>
      <c r="BC575" s="5"/>
    </row>
    <row r="576" ht="15.75" customHeight="1">
      <c r="U576" s="52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5"/>
      <c r="BB576" s="5"/>
      <c r="BC576" s="5"/>
    </row>
    <row r="577" ht="15.75" customHeight="1">
      <c r="U577" s="52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5"/>
      <c r="BB577" s="5"/>
      <c r="BC577" s="5"/>
    </row>
    <row r="578" ht="15.75" customHeight="1">
      <c r="U578" s="52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5"/>
      <c r="BB578" s="5"/>
      <c r="BC578" s="5"/>
    </row>
    <row r="579" ht="15.75" customHeight="1">
      <c r="U579" s="52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5"/>
      <c r="BB579" s="5"/>
      <c r="BC579" s="5"/>
    </row>
    <row r="580" ht="15.75" customHeight="1">
      <c r="U580" s="52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5"/>
      <c r="BB580" s="5"/>
      <c r="BC580" s="5"/>
    </row>
    <row r="581" ht="15.75" customHeight="1">
      <c r="U581" s="52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5"/>
      <c r="BB581" s="5"/>
      <c r="BC581" s="5"/>
    </row>
    <row r="582" ht="15.75" customHeight="1">
      <c r="U582" s="52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5"/>
      <c r="BB582" s="5"/>
      <c r="BC582" s="5"/>
    </row>
    <row r="583" ht="15.75" customHeight="1">
      <c r="U583" s="52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5"/>
      <c r="BB583" s="5"/>
      <c r="BC583" s="5"/>
    </row>
    <row r="584" ht="15.75" customHeight="1">
      <c r="U584" s="52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5"/>
      <c r="BB584" s="5"/>
      <c r="BC584" s="5"/>
    </row>
    <row r="585" ht="15.75" customHeight="1">
      <c r="U585" s="52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5"/>
      <c r="BB585" s="5"/>
      <c r="BC585" s="5"/>
    </row>
    <row r="586" ht="15.75" customHeight="1">
      <c r="U586" s="52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5"/>
      <c r="BB586" s="5"/>
      <c r="BC586" s="5"/>
    </row>
    <row r="587" ht="15.75" customHeight="1">
      <c r="U587" s="52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5"/>
      <c r="BB587" s="5"/>
      <c r="BC587" s="5"/>
    </row>
    <row r="588" ht="15.75" customHeight="1">
      <c r="U588" s="52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5"/>
      <c r="BB588" s="5"/>
      <c r="BC588" s="5"/>
    </row>
    <row r="589" ht="15.75" customHeight="1">
      <c r="U589" s="52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5"/>
      <c r="BB589" s="5"/>
      <c r="BC589" s="5"/>
    </row>
    <row r="590" ht="15.75" customHeight="1">
      <c r="U590" s="52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5"/>
      <c r="BB590" s="5"/>
      <c r="BC590" s="5"/>
    </row>
    <row r="591" ht="15.75" customHeight="1">
      <c r="U591" s="52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5"/>
      <c r="BB591" s="5"/>
      <c r="BC591" s="5"/>
    </row>
    <row r="592" ht="15.75" customHeight="1">
      <c r="U592" s="52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5"/>
      <c r="BB592" s="5"/>
      <c r="BC592" s="5"/>
    </row>
    <row r="593" ht="15.75" customHeight="1">
      <c r="U593" s="52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5"/>
      <c r="BB593" s="5"/>
      <c r="BC593" s="5"/>
    </row>
    <row r="594" ht="15.75" customHeight="1">
      <c r="U594" s="52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5"/>
      <c r="BB594" s="5"/>
      <c r="BC594" s="5"/>
    </row>
    <row r="595" ht="15.75" customHeight="1">
      <c r="U595" s="52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5"/>
      <c r="BB595" s="5"/>
      <c r="BC595" s="5"/>
    </row>
    <row r="596" ht="15.75" customHeight="1">
      <c r="U596" s="52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5"/>
      <c r="BB596" s="5"/>
      <c r="BC596" s="5"/>
    </row>
    <row r="597" ht="15.75" customHeight="1">
      <c r="U597" s="52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5"/>
      <c r="BB597" s="5"/>
      <c r="BC597" s="5"/>
    </row>
    <row r="598" ht="15.75" customHeight="1">
      <c r="U598" s="52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5"/>
      <c r="BB598" s="5"/>
      <c r="BC598" s="5"/>
    </row>
    <row r="599" ht="15.75" customHeight="1">
      <c r="U599" s="52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5"/>
      <c r="BB599" s="5"/>
      <c r="BC599" s="5"/>
    </row>
    <row r="600" ht="15.75" customHeight="1">
      <c r="U600" s="52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5"/>
      <c r="BB600" s="5"/>
      <c r="BC600" s="5"/>
    </row>
    <row r="601" ht="15.75" customHeight="1">
      <c r="U601" s="52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5"/>
      <c r="BB601" s="5"/>
      <c r="BC601" s="5"/>
    </row>
    <row r="602" ht="15.75" customHeight="1">
      <c r="U602" s="52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5"/>
      <c r="BB602" s="5"/>
      <c r="BC602" s="5"/>
    </row>
    <row r="603" ht="15.75" customHeight="1">
      <c r="U603" s="52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5"/>
      <c r="BB603" s="5"/>
      <c r="BC603" s="5"/>
    </row>
    <row r="604" ht="15.75" customHeight="1">
      <c r="U604" s="52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5"/>
      <c r="BB604" s="5"/>
      <c r="BC604" s="5"/>
    </row>
    <row r="605" ht="15.75" customHeight="1">
      <c r="U605" s="52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5"/>
      <c r="BB605" s="5"/>
      <c r="BC605" s="5"/>
    </row>
    <row r="606" ht="15.75" customHeight="1">
      <c r="U606" s="52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5"/>
      <c r="BB606" s="5"/>
      <c r="BC606" s="5"/>
    </row>
    <row r="607" ht="15.75" customHeight="1">
      <c r="U607" s="52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5"/>
      <c r="BB607" s="5"/>
      <c r="BC607" s="5"/>
    </row>
    <row r="608" ht="15.75" customHeight="1">
      <c r="U608" s="52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5"/>
      <c r="BB608" s="5"/>
      <c r="BC608" s="5"/>
    </row>
    <row r="609" ht="15.75" customHeight="1">
      <c r="U609" s="52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5"/>
      <c r="BB609" s="5"/>
      <c r="BC609" s="5"/>
    </row>
    <row r="610" ht="15.75" customHeight="1">
      <c r="U610" s="52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5"/>
      <c r="BB610" s="5"/>
      <c r="BC610" s="5"/>
    </row>
    <row r="611" ht="15.75" customHeight="1">
      <c r="U611" s="52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5"/>
      <c r="BB611" s="5"/>
      <c r="BC611" s="5"/>
    </row>
    <row r="612" ht="15.75" customHeight="1">
      <c r="U612" s="52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5"/>
      <c r="BB612" s="5"/>
      <c r="BC612" s="5"/>
    </row>
    <row r="613" ht="15.75" customHeight="1">
      <c r="U613" s="52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5"/>
      <c r="BB613" s="5"/>
      <c r="BC613" s="5"/>
    </row>
    <row r="614" ht="15.75" customHeight="1">
      <c r="U614" s="52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5"/>
      <c r="BB614" s="5"/>
      <c r="BC614" s="5"/>
    </row>
    <row r="615" ht="15.75" customHeight="1">
      <c r="U615" s="52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5"/>
      <c r="BB615" s="5"/>
      <c r="BC615" s="5"/>
    </row>
    <row r="616" ht="15.75" customHeight="1">
      <c r="U616" s="52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5"/>
      <c r="BB616" s="5"/>
      <c r="BC616" s="5"/>
    </row>
    <row r="617" ht="15.75" customHeight="1">
      <c r="U617" s="52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5"/>
      <c r="BB617" s="5"/>
      <c r="BC617" s="5"/>
    </row>
    <row r="618" ht="15.75" customHeight="1">
      <c r="U618" s="52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5"/>
      <c r="BB618" s="5"/>
      <c r="BC618" s="5"/>
    </row>
    <row r="619" ht="15.75" customHeight="1">
      <c r="U619" s="52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5"/>
      <c r="BB619" s="5"/>
      <c r="BC619" s="5"/>
    </row>
    <row r="620" ht="15.75" customHeight="1">
      <c r="U620" s="52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5"/>
      <c r="BB620" s="5"/>
      <c r="BC620" s="5"/>
    </row>
    <row r="621" ht="15.75" customHeight="1">
      <c r="U621" s="52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5"/>
      <c r="BB621" s="5"/>
      <c r="BC621" s="5"/>
    </row>
    <row r="622" ht="15.75" customHeight="1">
      <c r="U622" s="52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5"/>
      <c r="BB622" s="5"/>
      <c r="BC622" s="5"/>
    </row>
    <row r="623" ht="15.75" customHeight="1">
      <c r="U623" s="52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5"/>
      <c r="BB623" s="5"/>
      <c r="BC623" s="5"/>
    </row>
    <row r="624" ht="15.75" customHeight="1">
      <c r="U624" s="52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5"/>
      <c r="BB624" s="5"/>
      <c r="BC624" s="5"/>
    </row>
    <row r="625" ht="15.75" customHeight="1">
      <c r="U625" s="52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5"/>
      <c r="BB625" s="5"/>
      <c r="BC625" s="5"/>
    </row>
    <row r="626" ht="15.75" customHeight="1">
      <c r="U626" s="52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5"/>
      <c r="BB626" s="5"/>
      <c r="BC626" s="5"/>
    </row>
    <row r="627" ht="15.75" customHeight="1">
      <c r="U627" s="52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5"/>
      <c r="BB627" s="5"/>
      <c r="BC627" s="5"/>
    </row>
    <row r="628" ht="15.75" customHeight="1">
      <c r="U628" s="52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5"/>
      <c r="BB628" s="5"/>
      <c r="BC628" s="5"/>
    </row>
    <row r="629" ht="15.75" customHeight="1">
      <c r="U629" s="52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5"/>
      <c r="BB629" s="5"/>
      <c r="BC629" s="5"/>
    </row>
    <row r="630" ht="15.75" customHeight="1">
      <c r="U630" s="52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5"/>
      <c r="BB630" s="5"/>
      <c r="BC630" s="5"/>
    </row>
    <row r="631" ht="15.75" customHeight="1">
      <c r="U631" s="52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5"/>
      <c r="BB631" s="5"/>
      <c r="BC631" s="5"/>
    </row>
    <row r="632" ht="15.75" customHeight="1">
      <c r="U632" s="52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5"/>
      <c r="BB632" s="5"/>
      <c r="BC632" s="5"/>
    </row>
    <row r="633" ht="15.75" customHeight="1">
      <c r="U633" s="52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5"/>
      <c r="BB633" s="5"/>
      <c r="BC633" s="5"/>
    </row>
    <row r="634" ht="15.75" customHeight="1">
      <c r="U634" s="52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5"/>
      <c r="BB634" s="5"/>
      <c r="BC634" s="5"/>
    </row>
    <row r="635" ht="15.75" customHeight="1">
      <c r="U635" s="52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5"/>
      <c r="BB635" s="5"/>
      <c r="BC635" s="5"/>
    </row>
    <row r="636" ht="15.75" customHeight="1">
      <c r="U636" s="52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5"/>
      <c r="BB636" s="5"/>
      <c r="BC636" s="5"/>
    </row>
    <row r="637" ht="15.75" customHeight="1">
      <c r="U637" s="52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5"/>
      <c r="BB637" s="5"/>
      <c r="BC637" s="5"/>
    </row>
    <row r="638" ht="15.75" customHeight="1">
      <c r="U638" s="52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5"/>
      <c r="BB638" s="5"/>
      <c r="BC638" s="5"/>
    </row>
    <row r="639" ht="15.75" customHeight="1">
      <c r="U639" s="52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5"/>
      <c r="BB639" s="5"/>
      <c r="BC639" s="5"/>
    </row>
    <row r="640" ht="15.75" customHeight="1">
      <c r="U640" s="52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5"/>
      <c r="BB640" s="5"/>
      <c r="BC640" s="5"/>
    </row>
    <row r="641" ht="15.75" customHeight="1">
      <c r="U641" s="52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5"/>
      <c r="BB641" s="5"/>
      <c r="BC641" s="5"/>
    </row>
    <row r="642" ht="15.75" customHeight="1">
      <c r="U642" s="52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5"/>
      <c r="BB642" s="5"/>
      <c r="BC642" s="5"/>
    </row>
    <row r="643" ht="15.75" customHeight="1">
      <c r="U643" s="52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5"/>
      <c r="BB643" s="5"/>
      <c r="BC643" s="5"/>
    </row>
    <row r="644" ht="15.75" customHeight="1">
      <c r="U644" s="52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5"/>
      <c r="BB644" s="5"/>
      <c r="BC644" s="5"/>
    </row>
    <row r="645" ht="15.75" customHeight="1">
      <c r="U645" s="52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5"/>
      <c r="BB645" s="5"/>
      <c r="BC645" s="5"/>
    </row>
    <row r="646" ht="15.75" customHeight="1">
      <c r="U646" s="52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5"/>
      <c r="BB646" s="5"/>
      <c r="BC646" s="5"/>
    </row>
    <row r="647" ht="15.75" customHeight="1">
      <c r="U647" s="52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5"/>
      <c r="BB647" s="5"/>
      <c r="BC647" s="5"/>
    </row>
    <row r="648" ht="15.75" customHeight="1">
      <c r="U648" s="52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5"/>
      <c r="BB648" s="5"/>
      <c r="BC648" s="5"/>
    </row>
    <row r="649" ht="15.75" customHeight="1">
      <c r="U649" s="52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5"/>
      <c r="BB649" s="5"/>
      <c r="BC649" s="5"/>
    </row>
    <row r="650" ht="15.75" customHeight="1">
      <c r="U650" s="52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5"/>
      <c r="BB650" s="5"/>
      <c r="BC650" s="5"/>
    </row>
    <row r="651" ht="15.75" customHeight="1">
      <c r="U651" s="52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5"/>
      <c r="BB651" s="5"/>
      <c r="BC651" s="5"/>
    </row>
    <row r="652" ht="15.75" customHeight="1">
      <c r="U652" s="52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5"/>
      <c r="BB652" s="5"/>
      <c r="BC652" s="5"/>
    </row>
    <row r="653" ht="15.75" customHeight="1">
      <c r="U653" s="52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5"/>
      <c r="BB653" s="5"/>
      <c r="BC653" s="5"/>
    </row>
    <row r="654" ht="15.75" customHeight="1">
      <c r="U654" s="52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5"/>
      <c r="BB654" s="5"/>
      <c r="BC654" s="5"/>
    </row>
    <row r="655" ht="15.75" customHeight="1">
      <c r="U655" s="52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5"/>
      <c r="BB655" s="5"/>
      <c r="BC655" s="5"/>
    </row>
    <row r="656" ht="15.75" customHeight="1">
      <c r="U656" s="52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5"/>
      <c r="BB656" s="5"/>
      <c r="BC656" s="5"/>
    </row>
    <row r="657" ht="15.75" customHeight="1">
      <c r="U657" s="52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5"/>
      <c r="BB657" s="5"/>
      <c r="BC657" s="5"/>
    </row>
    <row r="658" ht="15.75" customHeight="1">
      <c r="U658" s="52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5"/>
      <c r="BB658" s="5"/>
      <c r="BC658" s="5"/>
    </row>
    <row r="659" ht="15.75" customHeight="1">
      <c r="U659" s="52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5"/>
      <c r="BB659" s="5"/>
      <c r="BC659" s="5"/>
    </row>
    <row r="660" ht="15.75" customHeight="1">
      <c r="U660" s="52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5"/>
      <c r="BB660" s="5"/>
      <c r="BC660" s="5"/>
    </row>
    <row r="661" ht="15.75" customHeight="1">
      <c r="U661" s="52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5"/>
      <c r="BB661" s="5"/>
      <c r="BC661" s="5"/>
    </row>
    <row r="662" ht="15.75" customHeight="1">
      <c r="U662" s="52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5"/>
      <c r="BB662" s="5"/>
      <c r="BC662" s="5"/>
    </row>
    <row r="663" ht="15.75" customHeight="1">
      <c r="U663" s="52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5"/>
      <c r="BB663" s="5"/>
      <c r="BC663" s="5"/>
    </row>
    <row r="664" ht="15.75" customHeight="1">
      <c r="U664" s="52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5"/>
      <c r="BB664" s="5"/>
      <c r="BC664" s="5"/>
    </row>
    <row r="665" ht="15.75" customHeight="1">
      <c r="U665" s="52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5"/>
      <c r="BB665" s="5"/>
      <c r="BC665" s="5"/>
    </row>
    <row r="666" ht="15.75" customHeight="1">
      <c r="U666" s="52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5"/>
      <c r="BB666" s="5"/>
      <c r="BC666" s="5"/>
    </row>
    <row r="667" ht="15.75" customHeight="1">
      <c r="U667" s="52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5"/>
      <c r="BB667" s="5"/>
      <c r="BC667" s="5"/>
    </row>
    <row r="668" ht="15.75" customHeight="1">
      <c r="U668" s="52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5"/>
      <c r="BB668" s="5"/>
      <c r="BC668" s="5"/>
    </row>
    <row r="669" ht="15.75" customHeight="1">
      <c r="U669" s="52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5"/>
      <c r="BB669" s="5"/>
      <c r="BC669" s="5"/>
    </row>
    <row r="670" ht="15.75" customHeight="1">
      <c r="U670" s="52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5"/>
      <c r="BB670" s="5"/>
      <c r="BC670" s="5"/>
    </row>
    <row r="671" ht="15.75" customHeight="1">
      <c r="U671" s="52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5"/>
      <c r="BB671" s="5"/>
      <c r="BC671" s="5"/>
    </row>
    <row r="672" ht="15.75" customHeight="1">
      <c r="U672" s="52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5"/>
      <c r="BB672" s="5"/>
      <c r="BC672" s="5"/>
    </row>
    <row r="673" ht="15.75" customHeight="1">
      <c r="U673" s="52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5"/>
      <c r="BB673" s="5"/>
      <c r="BC673" s="5"/>
    </row>
    <row r="674" ht="15.75" customHeight="1">
      <c r="U674" s="52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5"/>
      <c r="BB674" s="5"/>
      <c r="BC674" s="5"/>
    </row>
    <row r="675" ht="15.75" customHeight="1">
      <c r="U675" s="52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5"/>
      <c r="BB675" s="5"/>
      <c r="BC675" s="5"/>
    </row>
    <row r="676" ht="15.75" customHeight="1">
      <c r="U676" s="52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5"/>
      <c r="BB676" s="5"/>
      <c r="BC676" s="5"/>
    </row>
    <row r="677" ht="15.75" customHeight="1">
      <c r="U677" s="52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5"/>
      <c r="BB677" s="5"/>
      <c r="BC677" s="5"/>
    </row>
    <row r="678" ht="15.75" customHeight="1">
      <c r="U678" s="52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5"/>
      <c r="BB678" s="5"/>
      <c r="BC678" s="5"/>
    </row>
    <row r="679" ht="15.75" customHeight="1">
      <c r="U679" s="52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5"/>
      <c r="BB679" s="5"/>
      <c r="BC679" s="5"/>
    </row>
    <row r="680" ht="15.75" customHeight="1">
      <c r="U680" s="52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5"/>
      <c r="BB680" s="5"/>
      <c r="BC680" s="5"/>
    </row>
    <row r="681" ht="15.75" customHeight="1">
      <c r="U681" s="52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5"/>
      <c r="BB681" s="5"/>
      <c r="BC681" s="5"/>
    </row>
    <row r="682" ht="15.75" customHeight="1">
      <c r="U682" s="52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5"/>
      <c r="BB682" s="5"/>
      <c r="BC682" s="5"/>
    </row>
    <row r="683" ht="15.75" customHeight="1">
      <c r="U683" s="52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5"/>
      <c r="BB683" s="5"/>
      <c r="BC683" s="5"/>
    </row>
    <row r="684" ht="15.75" customHeight="1">
      <c r="U684" s="52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5"/>
      <c r="BB684" s="5"/>
      <c r="BC684" s="5"/>
    </row>
    <row r="685" ht="15.75" customHeight="1">
      <c r="U685" s="52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5"/>
      <c r="BB685" s="5"/>
      <c r="BC685" s="5"/>
    </row>
    <row r="686" ht="15.75" customHeight="1">
      <c r="U686" s="52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5"/>
      <c r="BB686" s="5"/>
      <c r="BC686" s="5"/>
    </row>
    <row r="687" ht="15.75" customHeight="1">
      <c r="U687" s="52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5"/>
      <c r="BB687" s="5"/>
      <c r="BC687" s="5"/>
    </row>
    <row r="688" ht="15.75" customHeight="1">
      <c r="U688" s="52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5"/>
      <c r="BB688" s="5"/>
      <c r="BC688" s="5"/>
    </row>
    <row r="689" ht="15.75" customHeight="1">
      <c r="U689" s="52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5"/>
      <c r="BB689" s="5"/>
      <c r="BC689" s="5"/>
    </row>
    <row r="690" ht="15.75" customHeight="1">
      <c r="U690" s="52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5"/>
      <c r="BB690" s="5"/>
      <c r="BC690" s="5"/>
    </row>
    <row r="691" ht="15.75" customHeight="1">
      <c r="U691" s="52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5"/>
      <c r="BB691" s="5"/>
      <c r="BC691" s="5"/>
    </row>
    <row r="692" ht="15.75" customHeight="1">
      <c r="U692" s="52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5"/>
      <c r="BB692" s="5"/>
      <c r="BC692" s="5"/>
    </row>
    <row r="693" ht="15.75" customHeight="1">
      <c r="U693" s="52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5"/>
      <c r="BB693" s="5"/>
      <c r="BC693" s="5"/>
    </row>
    <row r="694" ht="15.75" customHeight="1">
      <c r="U694" s="52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5"/>
      <c r="BB694" s="5"/>
      <c r="BC694" s="5"/>
    </row>
    <row r="695" ht="15.75" customHeight="1">
      <c r="U695" s="52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5"/>
      <c r="BB695" s="5"/>
      <c r="BC695" s="5"/>
    </row>
    <row r="696" ht="15.75" customHeight="1">
      <c r="U696" s="52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5"/>
      <c r="BB696" s="5"/>
      <c r="BC696" s="5"/>
    </row>
    <row r="697" ht="15.75" customHeight="1">
      <c r="U697" s="52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5"/>
      <c r="BB697" s="5"/>
      <c r="BC697" s="5"/>
    </row>
    <row r="698" ht="15.75" customHeight="1">
      <c r="U698" s="52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5"/>
      <c r="BB698" s="5"/>
      <c r="BC698" s="5"/>
    </row>
    <row r="699" ht="15.75" customHeight="1">
      <c r="U699" s="52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5"/>
      <c r="BB699" s="5"/>
      <c r="BC699" s="5"/>
    </row>
    <row r="700" ht="15.75" customHeight="1">
      <c r="U700" s="52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5"/>
      <c r="BB700" s="5"/>
      <c r="BC700" s="5"/>
    </row>
    <row r="701" ht="15.75" customHeight="1">
      <c r="U701" s="52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5"/>
      <c r="BB701" s="5"/>
      <c r="BC701" s="5"/>
    </row>
    <row r="702" ht="15.75" customHeight="1">
      <c r="U702" s="52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5"/>
      <c r="BB702" s="5"/>
      <c r="BC702" s="5"/>
    </row>
    <row r="703" ht="15.75" customHeight="1">
      <c r="U703" s="52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5"/>
      <c r="BB703" s="5"/>
      <c r="BC703" s="5"/>
    </row>
    <row r="704" ht="15.75" customHeight="1">
      <c r="U704" s="52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5"/>
      <c r="BB704" s="5"/>
      <c r="BC704" s="5"/>
    </row>
    <row r="705" ht="15.75" customHeight="1">
      <c r="U705" s="52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5"/>
      <c r="BB705" s="5"/>
      <c r="BC705" s="5"/>
    </row>
    <row r="706" ht="15.75" customHeight="1">
      <c r="U706" s="52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5"/>
      <c r="BB706" s="5"/>
      <c r="BC706" s="5"/>
    </row>
    <row r="707" ht="15.75" customHeight="1">
      <c r="U707" s="52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5"/>
      <c r="BB707" s="5"/>
      <c r="BC707" s="5"/>
    </row>
    <row r="708" ht="15.75" customHeight="1">
      <c r="U708" s="52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5"/>
      <c r="BB708" s="5"/>
      <c r="BC708" s="5"/>
    </row>
    <row r="709" ht="15.75" customHeight="1">
      <c r="U709" s="52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5"/>
      <c r="BB709" s="5"/>
      <c r="BC709" s="5"/>
    </row>
    <row r="710" ht="15.75" customHeight="1">
      <c r="U710" s="52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5"/>
      <c r="BB710" s="5"/>
      <c r="BC710" s="5"/>
    </row>
    <row r="711" ht="15.75" customHeight="1">
      <c r="U711" s="52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5"/>
      <c r="BB711" s="5"/>
      <c r="BC711" s="5"/>
    </row>
    <row r="712" ht="15.75" customHeight="1">
      <c r="U712" s="52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5"/>
      <c r="BB712" s="5"/>
      <c r="BC712" s="5"/>
    </row>
    <row r="713" ht="15.75" customHeight="1">
      <c r="U713" s="52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5"/>
      <c r="BB713" s="5"/>
      <c r="BC713" s="5"/>
    </row>
    <row r="714" ht="15.75" customHeight="1">
      <c r="U714" s="52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5"/>
      <c r="BB714" s="5"/>
      <c r="BC714" s="5"/>
    </row>
    <row r="715" ht="15.75" customHeight="1">
      <c r="U715" s="52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5"/>
      <c r="BB715" s="5"/>
      <c r="BC715" s="5"/>
    </row>
    <row r="716" ht="15.75" customHeight="1">
      <c r="U716" s="52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5"/>
      <c r="BB716" s="5"/>
      <c r="BC716" s="5"/>
    </row>
    <row r="717" ht="15.75" customHeight="1">
      <c r="U717" s="52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5"/>
      <c r="BB717" s="5"/>
      <c r="BC717" s="5"/>
    </row>
    <row r="718" ht="15.75" customHeight="1">
      <c r="U718" s="52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5"/>
      <c r="BB718" s="5"/>
      <c r="BC718" s="5"/>
    </row>
    <row r="719" ht="15.75" customHeight="1">
      <c r="U719" s="52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5"/>
      <c r="BB719" s="5"/>
      <c r="BC719" s="5"/>
    </row>
    <row r="720" ht="15.75" customHeight="1">
      <c r="U720" s="52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5"/>
      <c r="BB720" s="5"/>
      <c r="BC720" s="5"/>
    </row>
    <row r="721" ht="15.75" customHeight="1">
      <c r="U721" s="52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5"/>
      <c r="BB721" s="5"/>
      <c r="BC721" s="5"/>
    </row>
    <row r="722" ht="15.75" customHeight="1">
      <c r="U722" s="52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5"/>
      <c r="BB722" s="5"/>
      <c r="BC722" s="5"/>
    </row>
    <row r="723" ht="15.75" customHeight="1">
      <c r="U723" s="52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5"/>
      <c r="BB723" s="5"/>
      <c r="BC723" s="5"/>
    </row>
    <row r="724" ht="15.75" customHeight="1">
      <c r="U724" s="52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5"/>
      <c r="BB724" s="5"/>
      <c r="BC724" s="5"/>
    </row>
    <row r="725" ht="15.75" customHeight="1">
      <c r="U725" s="52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5"/>
      <c r="BB725" s="5"/>
      <c r="BC725" s="5"/>
    </row>
    <row r="726" ht="15.75" customHeight="1">
      <c r="U726" s="52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5"/>
      <c r="BB726" s="5"/>
      <c r="BC726" s="5"/>
    </row>
    <row r="727" ht="15.75" customHeight="1">
      <c r="U727" s="52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5"/>
      <c r="BB727" s="5"/>
      <c r="BC727" s="5"/>
    </row>
    <row r="728" ht="15.75" customHeight="1">
      <c r="U728" s="52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5"/>
      <c r="BB728" s="5"/>
      <c r="BC728" s="5"/>
    </row>
    <row r="729" ht="15.75" customHeight="1">
      <c r="U729" s="52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5"/>
      <c r="BB729" s="5"/>
      <c r="BC729" s="5"/>
    </row>
    <row r="730" ht="15.75" customHeight="1">
      <c r="U730" s="52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5"/>
      <c r="BB730" s="5"/>
      <c r="BC730" s="5"/>
    </row>
    <row r="731" ht="15.75" customHeight="1">
      <c r="U731" s="52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5"/>
      <c r="BB731" s="5"/>
      <c r="BC731" s="5"/>
    </row>
    <row r="732" ht="15.75" customHeight="1">
      <c r="U732" s="52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5"/>
      <c r="BB732" s="5"/>
      <c r="BC732" s="5"/>
    </row>
    <row r="733" ht="15.75" customHeight="1">
      <c r="U733" s="52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5"/>
      <c r="BB733" s="5"/>
      <c r="BC733" s="5"/>
    </row>
    <row r="734" ht="15.75" customHeight="1">
      <c r="U734" s="52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5"/>
      <c r="BB734" s="5"/>
      <c r="BC734" s="5"/>
    </row>
    <row r="735" ht="15.75" customHeight="1">
      <c r="U735" s="52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5"/>
      <c r="BB735" s="5"/>
      <c r="BC735" s="5"/>
    </row>
    <row r="736" ht="15.75" customHeight="1">
      <c r="U736" s="52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5"/>
      <c r="BB736" s="5"/>
      <c r="BC736" s="5"/>
    </row>
    <row r="737" ht="15.75" customHeight="1">
      <c r="U737" s="52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5"/>
      <c r="BB737" s="5"/>
      <c r="BC737" s="5"/>
    </row>
    <row r="738" ht="15.75" customHeight="1">
      <c r="U738" s="52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5"/>
      <c r="BB738" s="5"/>
      <c r="BC738" s="5"/>
    </row>
    <row r="739" ht="15.75" customHeight="1">
      <c r="U739" s="52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5"/>
      <c r="BB739" s="5"/>
      <c r="BC739" s="5"/>
    </row>
    <row r="740" ht="15.75" customHeight="1">
      <c r="U740" s="52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5"/>
      <c r="BB740" s="5"/>
      <c r="BC740" s="5"/>
    </row>
    <row r="741" ht="15.75" customHeight="1">
      <c r="U741" s="52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5"/>
      <c r="BB741" s="5"/>
      <c r="BC741" s="5"/>
    </row>
    <row r="742" ht="15.75" customHeight="1">
      <c r="U742" s="52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5"/>
      <c r="BB742" s="5"/>
      <c r="BC742" s="5"/>
    </row>
    <row r="743" ht="15.75" customHeight="1">
      <c r="U743" s="52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5"/>
      <c r="BB743" s="5"/>
      <c r="BC743" s="5"/>
    </row>
    <row r="744" ht="15.75" customHeight="1">
      <c r="U744" s="52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5"/>
      <c r="BB744" s="5"/>
      <c r="BC744" s="5"/>
    </row>
    <row r="745" ht="15.75" customHeight="1">
      <c r="U745" s="52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5"/>
      <c r="BB745" s="5"/>
      <c r="BC745" s="5"/>
    </row>
    <row r="746" ht="15.75" customHeight="1">
      <c r="U746" s="52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5"/>
      <c r="BB746" s="5"/>
      <c r="BC746" s="5"/>
    </row>
    <row r="747" ht="15.75" customHeight="1">
      <c r="U747" s="52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5"/>
      <c r="BB747" s="5"/>
      <c r="BC747" s="5"/>
    </row>
    <row r="748" ht="15.75" customHeight="1">
      <c r="U748" s="52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5"/>
      <c r="BB748" s="5"/>
      <c r="BC748" s="5"/>
    </row>
    <row r="749" ht="15.75" customHeight="1">
      <c r="U749" s="52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5"/>
      <c r="BB749" s="5"/>
      <c r="BC749" s="5"/>
    </row>
    <row r="750" ht="15.75" customHeight="1">
      <c r="U750" s="52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5"/>
      <c r="BB750" s="5"/>
      <c r="BC750" s="5"/>
    </row>
    <row r="751" ht="15.75" customHeight="1">
      <c r="U751" s="52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5"/>
      <c r="BB751" s="5"/>
      <c r="BC751" s="5"/>
    </row>
    <row r="752" ht="15.75" customHeight="1">
      <c r="U752" s="52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5"/>
      <c r="BB752" s="5"/>
      <c r="BC752" s="5"/>
    </row>
    <row r="753" ht="15.75" customHeight="1">
      <c r="U753" s="52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5"/>
      <c r="BB753" s="5"/>
      <c r="BC753" s="5"/>
    </row>
    <row r="754" ht="15.75" customHeight="1">
      <c r="U754" s="52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5"/>
      <c r="BB754" s="5"/>
      <c r="BC754" s="5"/>
    </row>
    <row r="755" ht="15.75" customHeight="1">
      <c r="U755" s="52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5"/>
      <c r="BB755" s="5"/>
      <c r="BC755" s="5"/>
    </row>
    <row r="756" ht="15.75" customHeight="1">
      <c r="U756" s="52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5"/>
      <c r="BB756" s="5"/>
      <c r="BC756" s="5"/>
    </row>
    <row r="757" ht="15.75" customHeight="1">
      <c r="U757" s="52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5"/>
      <c r="BB757" s="5"/>
      <c r="BC757" s="5"/>
    </row>
    <row r="758" ht="15.75" customHeight="1">
      <c r="U758" s="52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5"/>
      <c r="BB758" s="5"/>
      <c r="BC758" s="5"/>
    </row>
    <row r="759" ht="15.75" customHeight="1">
      <c r="U759" s="52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5"/>
      <c r="BB759" s="5"/>
      <c r="BC759" s="5"/>
    </row>
    <row r="760" ht="15.75" customHeight="1">
      <c r="U760" s="52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5"/>
      <c r="BB760" s="5"/>
      <c r="BC760" s="5"/>
    </row>
    <row r="761" ht="15.75" customHeight="1">
      <c r="U761" s="52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5"/>
      <c r="BB761" s="5"/>
      <c r="BC761" s="5"/>
    </row>
    <row r="762" ht="15.75" customHeight="1">
      <c r="U762" s="52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5"/>
      <c r="BB762" s="5"/>
      <c r="BC762" s="5"/>
    </row>
    <row r="763" ht="15.75" customHeight="1">
      <c r="U763" s="52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5"/>
      <c r="BB763" s="5"/>
      <c r="BC763" s="5"/>
    </row>
    <row r="764" ht="15.75" customHeight="1">
      <c r="U764" s="52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5"/>
      <c r="BB764" s="5"/>
      <c r="BC764" s="5"/>
    </row>
    <row r="765" ht="15.75" customHeight="1">
      <c r="U765" s="52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5"/>
      <c r="BB765" s="5"/>
      <c r="BC765" s="5"/>
    </row>
    <row r="766" ht="15.75" customHeight="1">
      <c r="U766" s="52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5"/>
      <c r="BB766" s="5"/>
      <c r="BC766" s="5"/>
    </row>
    <row r="767" ht="15.75" customHeight="1">
      <c r="U767" s="52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5"/>
      <c r="BB767" s="5"/>
      <c r="BC767" s="5"/>
    </row>
    <row r="768" ht="15.75" customHeight="1">
      <c r="U768" s="52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5"/>
      <c r="BB768" s="5"/>
      <c r="BC768" s="5"/>
    </row>
    <row r="769" ht="15.75" customHeight="1">
      <c r="U769" s="52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5"/>
      <c r="BB769" s="5"/>
      <c r="BC769" s="5"/>
    </row>
    <row r="770" ht="15.75" customHeight="1">
      <c r="U770" s="52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5"/>
      <c r="BB770" s="5"/>
      <c r="BC770" s="5"/>
    </row>
    <row r="771" ht="15.75" customHeight="1">
      <c r="U771" s="52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5"/>
      <c r="BB771" s="5"/>
      <c r="BC771" s="5"/>
    </row>
    <row r="772" ht="15.75" customHeight="1">
      <c r="U772" s="52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5"/>
      <c r="BB772" s="5"/>
      <c r="BC772" s="5"/>
    </row>
    <row r="773" ht="15.75" customHeight="1">
      <c r="U773" s="52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5"/>
      <c r="BB773" s="5"/>
      <c r="BC773" s="5"/>
    </row>
    <row r="774" ht="15.75" customHeight="1">
      <c r="U774" s="52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5"/>
      <c r="BB774" s="5"/>
      <c r="BC774" s="5"/>
    </row>
    <row r="775" ht="15.75" customHeight="1">
      <c r="U775" s="52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5"/>
      <c r="BB775" s="5"/>
      <c r="BC775" s="5"/>
    </row>
    <row r="776" ht="15.75" customHeight="1">
      <c r="U776" s="52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5"/>
      <c r="BB776" s="5"/>
      <c r="BC776" s="5"/>
    </row>
    <row r="777" ht="15.75" customHeight="1">
      <c r="U777" s="52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5"/>
      <c r="BB777" s="5"/>
      <c r="BC777" s="5"/>
    </row>
    <row r="778" ht="15.75" customHeight="1">
      <c r="U778" s="52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5"/>
      <c r="BB778" s="5"/>
      <c r="BC778" s="5"/>
    </row>
    <row r="779" ht="15.75" customHeight="1">
      <c r="U779" s="52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5"/>
      <c r="BB779" s="5"/>
      <c r="BC779" s="5"/>
    </row>
    <row r="780" ht="15.75" customHeight="1">
      <c r="U780" s="52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5"/>
      <c r="BB780" s="5"/>
      <c r="BC780" s="5"/>
    </row>
    <row r="781" ht="15.75" customHeight="1">
      <c r="U781" s="52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5"/>
      <c r="BB781" s="5"/>
      <c r="BC781" s="5"/>
    </row>
    <row r="782" ht="15.75" customHeight="1">
      <c r="U782" s="52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5"/>
      <c r="BB782" s="5"/>
      <c r="BC782" s="5"/>
    </row>
    <row r="783" ht="15.75" customHeight="1">
      <c r="U783" s="52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5"/>
      <c r="BB783" s="5"/>
      <c r="BC783" s="5"/>
    </row>
    <row r="784" ht="15.75" customHeight="1">
      <c r="U784" s="52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5"/>
      <c r="BB784" s="5"/>
      <c r="BC784" s="5"/>
    </row>
    <row r="785" ht="15.75" customHeight="1">
      <c r="U785" s="52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5"/>
      <c r="BB785" s="5"/>
      <c r="BC785" s="5"/>
    </row>
    <row r="786" ht="15.75" customHeight="1">
      <c r="U786" s="52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5"/>
      <c r="BB786" s="5"/>
      <c r="BC786" s="5"/>
    </row>
    <row r="787" ht="15.75" customHeight="1">
      <c r="U787" s="52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5"/>
      <c r="BB787" s="5"/>
      <c r="BC787" s="5"/>
    </row>
    <row r="788" ht="15.75" customHeight="1">
      <c r="U788" s="52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5"/>
      <c r="BB788" s="5"/>
      <c r="BC788" s="5"/>
    </row>
    <row r="789" ht="15.75" customHeight="1">
      <c r="U789" s="52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5"/>
      <c r="BB789" s="5"/>
      <c r="BC789" s="5"/>
    </row>
    <row r="790" ht="15.75" customHeight="1">
      <c r="U790" s="52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5"/>
      <c r="BB790" s="5"/>
      <c r="BC790" s="5"/>
    </row>
    <row r="791" ht="15.75" customHeight="1">
      <c r="U791" s="52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5"/>
      <c r="BB791" s="5"/>
      <c r="BC791" s="5"/>
    </row>
    <row r="792" ht="15.75" customHeight="1">
      <c r="U792" s="52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5"/>
      <c r="BB792" s="5"/>
      <c r="BC792" s="5"/>
    </row>
    <row r="793" ht="15.75" customHeight="1">
      <c r="U793" s="52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5"/>
      <c r="BB793" s="5"/>
      <c r="BC793" s="5"/>
    </row>
    <row r="794" ht="15.75" customHeight="1">
      <c r="U794" s="52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5"/>
      <c r="BB794" s="5"/>
      <c r="BC794" s="5"/>
    </row>
    <row r="795" ht="15.75" customHeight="1">
      <c r="U795" s="52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5"/>
      <c r="BB795" s="5"/>
      <c r="BC795" s="5"/>
    </row>
    <row r="796" ht="15.75" customHeight="1">
      <c r="U796" s="52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5"/>
      <c r="BB796" s="5"/>
      <c r="BC796" s="5"/>
    </row>
    <row r="797" ht="15.75" customHeight="1">
      <c r="U797" s="52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5"/>
      <c r="BB797" s="5"/>
      <c r="BC797" s="5"/>
    </row>
    <row r="798" ht="15.75" customHeight="1">
      <c r="U798" s="52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5"/>
      <c r="BB798" s="5"/>
      <c r="BC798" s="5"/>
    </row>
    <row r="799" ht="15.75" customHeight="1">
      <c r="U799" s="52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5"/>
      <c r="BB799" s="5"/>
      <c r="BC799" s="5"/>
    </row>
    <row r="800" ht="15.75" customHeight="1">
      <c r="U800" s="52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5"/>
      <c r="BB800" s="5"/>
      <c r="BC800" s="5"/>
    </row>
    <row r="801" ht="15.75" customHeight="1">
      <c r="U801" s="52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5"/>
      <c r="BB801" s="5"/>
      <c r="BC801" s="5"/>
    </row>
    <row r="802" ht="15.75" customHeight="1">
      <c r="U802" s="52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5"/>
      <c r="BB802" s="5"/>
      <c r="BC802" s="5"/>
    </row>
    <row r="803" ht="15.75" customHeight="1">
      <c r="U803" s="52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5"/>
      <c r="BB803" s="5"/>
      <c r="BC803" s="5"/>
    </row>
    <row r="804" ht="15.75" customHeight="1">
      <c r="U804" s="52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5"/>
      <c r="BB804" s="5"/>
      <c r="BC804" s="5"/>
    </row>
    <row r="805" ht="15.75" customHeight="1">
      <c r="U805" s="52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5"/>
      <c r="BB805" s="5"/>
      <c r="BC805" s="5"/>
    </row>
    <row r="806" ht="15.75" customHeight="1">
      <c r="U806" s="52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5"/>
      <c r="BB806" s="5"/>
      <c r="BC806" s="5"/>
    </row>
    <row r="807" ht="15.75" customHeight="1">
      <c r="U807" s="52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5"/>
      <c r="BB807" s="5"/>
      <c r="BC807" s="5"/>
    </row>
    <row r="808" ht="15.75" customHeight="1">
      <c r="U808" s="52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5"/>
      <c r="BB808" s="5"/>
      <c r="BC808" s="5"/>
    </row>
    <row r="809" ht="15.75" customHeight="1">
      <c r="U809" s="52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5"/>
      <c r="BB809" s="5"/>
      <c r="BC809" s="5"/>
    </row>
    <row r="810" ht="15.75" customHeight="1">
      <c r="U810" s="52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5"/>
      <c r="BB810" s="5"/>
      <c r="BC810" s="5"/>
    </row>
    <row r="811" ht="15.75" customHeight="1">
      <c r="U811" s="52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5"/>
      <c r="BB811" s="5"/>
      <c r="BC811" s="5"/>
    </row>
    <row r="812" ht="15.75" customHeight="1">
      <c r="U812" s="52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5"/>
      <c r="BB812" s="5"/>
      <c r="BC812" s="5"/>
    </row>
    <row r="813" ht="15.75" customHeight="1">
      <c r="U813" s="52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5"/>
      <c r="BB813" s="5"/>
      <c r="BC813" s="5"/>
    </row>
    <row r="814" ht="15.75" customHeight="1">
      <c r="U814" s="52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5"/>
      <c r="BB814" s="5"/>
      <c r="BC814" s="5"/>
    </row>
    <row r="815" ht="15.75" customHeight="1">
      <c r="U815" s="52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5"/>
      <c r="BB815" s="5"/>
      <c r="BC815" s="5"/>
    </row>
    <row r="816" ht="15.75" customHeight="1">
      <c r="U816" s="52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5"/>
      <c r="BB816" s="5"/>
      <c r="BC816" s="5"/>
    </row>
    <row r="817" ht="15.75" customHeight="1">
      <c r="U817" s="52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5"/>
      <c r="BB817" s="5"/>
      <c r="BC817" s="5"/>
    </row>
    <row r="818" ht="15.75" customHeight="1">
      <c r="U818" s="52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5"/>
      <c r="BB818" s="5"/>
      <c r="BC818" s="5"/>
    </row>
    <row r="819" ht="15.75" customHeight="1">
      <c r="U819" s="52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5"/>
      <c r="BB819" s="5"/>
      <c r="BC819" s="5"/>
    </row>
    <row r="820" ht="15.75" customHeight="1">
      <c r="U820" s="52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5"/>
      <c r="BB820" s="5"/>
      <c r="BC820" s="5"/>
    </row>
    <row r="821" ht="15.75" customHeight="1">
      <c r="U821" s="52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5"/>
      <c r="BB821" s="5"/>
      <c r="BC821" s="5"/>
    </row>
    <row r="822" ht="15.75" customHeight="1">
      <c r="U822" s="52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5"/>
      <c r="BB822" s="5"/>
      <c r="BC822" s="5"/>
    </row>
    <row r="823" ht="15.75" customHeight="1">
      <c r="U823" s="52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5"/>
      <c r="BB823" s="5"/>
      <c r="BC823" s="5"/>
    </row>
    <row r="824" ht="15.75" customHeight="1">
      <c r="U824" s="52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5"/>
      <c r="BB824" s="5"/>
      <c r="BC824" s="5"/>
    </row>
    <row r="825" ht="15.75" customHeight="1">
      <c r="U825" s="52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5"/>
      <c r="BB825" s="5"/>
      <c r="BC825" s="5"/>
    </row>
    <row r="826" ht="15.75" customHeight="1">
      <c r="U826" s="52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5"/>
      <c r="BB826" s="5"/>
      <c r="BC826" s="5"/>
    </row>
    <row r="827" ht="15.75" customHeight="1">
      <c r="U827" s="52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5"/>
      <c r="BB827" s="5"/>
      <c r="BC827" s="5"/>
    </row>
    <row r="828" ht="15.75" customHeight="1">
      <c r="U828" s="52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5"/>
      <c r="BB828" s="5"/>
      <c r="BC828" s="5"/>
    </row>
    <row r="829" ht="15.75" customHeight="1">
      <c r="U829" s="52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5"/>
      <c r="BB829" s="5"/>
      <c r="BC829" s="5"/>
    </row>
    <row r="830" ht="15.75" customHeight="1">
      <c r="U830" s="52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5"/>
      <c r="BB830" s="5"/>
      <c r="BC830" s="5"/>
    </row>
    <row r="831" ht="15.75" customHeight="1">
      <c r="U831" s="52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5"/>
      <c r="BB831" s="5"/>
      <c r="BC831" s="5"/>
    </row>
    <row r="832" ht="15.75" customHeight="1">
      <c r="U832" s="52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5"/>
      <c r="BB832" s="5"/>
      <c r="BC832" s="5"/>
    </row>
    <row r="833" ht="15.75" customHeight="1">
      <c r="U833" s="52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5"/>
      <c r="BB833" s="5"/>
      <c r="BC833" s="5"/>
    </row>
    <row r="834" ht="15.75" customHeight="1">
      <c r="U834" s="52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5"/>
      <c r="BB834" s="5"/>
      <c r="BC834" s="5"/>
    </row>
    <row r="835" ht="15.75" customHeight="1">
      <c r="U835" s="52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5"/>
      <c r="BB835" s="5"/>
      <c r="BC835" s="5"/>
    </row>
    <row r="836" ht="15.75" customHeight="1">
      <c r="U836" s="52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5"/>
      <c r="BB836" s="5"/>
      <c r="BC836" s="5"/>
    </row>
    <row r="837" ht="15.75" customHeight="1">
      <c r="U837" s="52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5"/>
      <c r="BB837" s="5"/>
      <c r="BC837" s="5"/>
    </row>
    <row r="838" ht="15.75" customHeight="1">
      <c r="U838" s="52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5"/>
      <c r="BB838" s="5"/>
      <c r="BC838" s="5"/>
    </row>
    <row r="839" ht="15.75" customHeight="1">
      <c r="U839" s="52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5"/>
      <c r="BB839" s="5"/>
      <c r="BC839" s="5"/>
    </row>
    <row r="840" ht="15.75" customHeight="1">
      <c r="U840" s="52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5"/>
      <c r="BB840" s="5"/>
      <c r="BC840" s="5"/>
    </row>
    <row r="841" ht="15.75" customHeight="1">
      <c r="U841" s="52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5"/>
      <c r="BB841" s="5"/>
      <c r="BC841" s="5"/>
    </row>
    <row r="842" ht="15.75" customHeight="1">
      <c r="U842" s="52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5"/>
      <c r="BB842" s="5"/>
      <c r="BC842" s="5"/>
    </row>
    <row r="843" ht="15.75" customHeight="1">
      <c r="U843" s="52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5"/>
      <c r="BB843" s="5"/>
      <c r="BC843" s="5"/>
    </row>
    <row r="844" ht="15.75" customHeight="1">
      <c r="U844" s="52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5"/>
      <c r="BB844" s="5"/>
      <c r="BC844" s="5"/>
    </row>
    <row r="845" ht="15.75" customHeight="1">
      <c r="U845" s="52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5"/>
      <c r="BB845" s="5"/>
      <c r="BC845" s="5"/>
    </row>
    <row r="846" ht="15.75" customHeight="1">
      <c r="U846" s="52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5"/>
      <c r="BB846" s="5"/>
      <c r="BC846" s="5"/>
    </row>
    <row r="847" ht="15.75" customHeight="1">
      <c r="U847" s="52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5"/>
      <c r="BB847" s="5"/>
      <c r="BC847" s="5"/>
    </row>
    <row r="848" ht="15.75" customHeight="1">
      <c r="U848" s="52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5"/>
      <c r="BB848" s="5"/>
      <c r="BC848" s="5"/>
    </row>
    <row r="849" ht="15.75" customHeight="1">
      <c r="U849" s="52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5"/>
      <c r="BB849" s="5"/>
      <c r="BC849" s="5"/>
    </row>
    <row r="850" ht="15.75" customHeight="1">
      <c r="U850" s="52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5"/>
      <c r="BB850" s="5"/>
      <c r="BC850" s="5"/>
    </row>
    <row r="851" ht="15.75" customHeight="1">
      <c r="U851" s="52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5"/>
      <c r="BB851" s="5"/>
      <c r="BC851" s="5"/>
    </row>
    <row r="852" ht="15.75" customHeight="1">
      <c r="U852" s="52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5"/>
      <c r="BB852" s="5"/>
      <c r="BC852" s="5"/>
    </row>
    <row r="853" ht="15.75" customHeight="1">
      <c r="U853" s="52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5"/>
      <c r="BB853" s="5"/>
      <c r="BC853" s="5"/>
    </row>
    <row r="854" ht="15.75" customHeight="1">
      <c r="U854" s="52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5"/>
      <c r="BB854" s="5"/>
      <c r="BC854" s="5"/>
    </row>
    <row r="855" ht="15.75" customHeight="1">
      <c r="U855" s="52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5"/>
      <c r="BB855" s="5"/>
      <c r="BC855" s="5"/>
    </row>
    <row r="856" ht="15.75" customHeight="1">
      <c r="U856" s="52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5"/>
      <c r="BB856" s="5"/>
      <c r="BC856" s="5"/>
    </row>
    <row r="857" ht="15.75" customHeight="1">
      <c r="U857" s="52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5"/>
      <c r="BB857" s="5"/>
      <c r="BC857" s="5"/>
    </row>
    <row r="858" ht="15.75" customHeight="1">
      <c r="U858" s="52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5"/>
      <c r="BB858" s="5"/>
      <c r="BC858" s="5"/>
    </row>
    <row r="859" ht="15.75" customHeight="1">
      <c r="U859" s="52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5"/>
      <c r="BB859" s="5"/>
      <c r="BC859" s="5"/>
    </row>
    <row r="860" ht="15.75" customHeight="1">
      <c r="U860" s="52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5"/>
      <c r="BB860" s="5"/>
      <c r="BC860" s="5"/>
    </row>
    <row r="861" ht="15.75" customHeight="1">
      <c r="U861" s="52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5"/>
      <c r="BB861" s="5"/>
      <c r="BC861" s="5"/>
    </row>
    <row r="862" ht="15.75" customHeight="1">
      <c r="U862" s="52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5"/>
      <c r="BB862" s="5"/>
      <c r="BC862" s="5"/>
    </row>
    <row r="863" ht="15.75" customHeight="1">
      <c r="U863" s="52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5"/>
      <c r="BB863" s="5"/>
      <c r="BC863" s="5"/>
    </row>
    <row r="864" ht="15.75" customHeight="1">
      <c r="U864" s="52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5"/>
      <c r="BB864" s="5"/>
      <c r="BC864" s="5"/>
    </row>
    <row r="865" ht="15.75" customHeight="1">
      <c r="U865" s="52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5"/>
      <c r="BB865" s="5"/>
      <c r="BC865" s="5"/>
    </row>
    <row r="866" ht="15.75" customHeight="1">
      <c r="U866" s="52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5"/>
      <c r="BB866" s="5"/>
      <c r="BC866" s="5"/>
    </row>
    <row r="867" ht="15.75" customHeight="1">
      <c r="U867" s="52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5"/>
      <c r="BB867" s="5"/>
      <c r="BC867" s="5"/>
    </row>
    <row r="868" ht="15.75" customHeight="1">
      <c r="U868" s="52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5"/>
      <c r="BB868" s="5"/>
      <c r="BC868" s="5"/>
    </row>
    <row r="869" ht="15.75" customHeight="1">
      <c r="U869" s="52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5"/>
      <c r="BB869" s="5"/>
      <c r="BC869" s="5"/>
    </row>
    <row r="870" ht="15.75" customHeight="1">
      <c r="U870" s="52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5"/>
      <c r="BB870" s="5"/>
      <c r="BC870" s="5"/>
    </row>
    <row r="871" ht="15.75" customHeight="1">
      <c r="U871" s="52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5"/>
      <c r="BB871" s="5"/>
      <c r="BC871" s="5"/>
    </row>
    <row r="872" ht="15.75" customHeight="1">
      <c r="U872" s="52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5"/>
      <c r="BB872" s="5"/>
      <c r="BC872" s="5"/>
    </row>
    <row r="873" ht="15.75" customHeight="1">
      <c r="U873" s="52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5"/>
      <c r="BB873" s="5"/>
      <c r="BC873" s="5"/>
    </row>
    <row r="874" ht="15.75" customHeight="1">
      <c r="U874" s="52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5"/>
      <c r="BB874" s="5"/>
      <c r="BC874" s="5"/>
    </row>
    <row r="875" ht="15.75" customHeight="1">
      <c r="U875" s="52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5"/>
      <c r="BB875" s="5"/>
      <c r="BC875" s="5"/>
    </row>
    <row r="876" ht="15.75" customHeight="1">
      <c r="U876" s="52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5"/>
      <c r="BB876" s="5"/>
      <c r="BC876" s="5"/>
    </row>
    <row r="877" ht="15.75" customHeight="1">
      <c r="U877" s="52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5"/>
      <c r="BB877" s="5"/>
      <c r="BC877" s="5"/>
    </row>
    <row r="878" ht="15.75" customHeight="1">
      <c r="U878" s="52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5"/>
      <c r="BB878" s="5"/>
      <c r="BC878" s="5"/>
    </row>
    <row r="879" ht="15.75" customHeight="1">
      <c r="U879" s="52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5"/>
      <c r="BB879" s="5"/>
      <c r="BC879" s="5"/>
    </row>
    <row r="880" ht="15.75" customHeight="1">
      <c r="U880" s="52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5"/>
      <c r="BB880" s="5"/>
      <c r="BC880" s="5"/>
    </row>
    <row r="881" ht="15.75" customHeight="1">
      <c r="U881" s="52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5"/>
      <c r="BB881" s="5"/>
      <c r="BC881" s="5"/>
    </row>
    <row r="882" ht="15.75" customHeight="1">
      <c r="U882" s="52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5"/>
      <c r="BB882" s="5"/>
      <c r="BC882" s="5"/>
    </row>
    <row r="883" ht="15.75" customHeight="1">
      <c r="U883" s="52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5"/>
      <c r="BB883" s="5"/>
      <c r="BC883" s="5"/>
    </row>
    <row r="884" ht="15.75" customHeight="1">
      <c r="U884" s="52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5"/>
      <c r="BB884" s="5"/>
      <c r="BC884" s="5"/>
    </row>
    <row r="885" ht="15.75" customHeight="1">
      <c r="U885" s="52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5"/>
      <c r="BB885" s="5"/>
      <c r="BC885" s="5"/>
    </row>
    <row r="886" ht="15.75" customHeight="1">
      <c r="U886" s="52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5"/>
      <c r="BB886" s="5"/>
      <c r="BC886" s="5"/>
    </row>
    <row r="887" ht="15.75" customHeight="1">
      <c r="U887" s="52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5"/>
      <c r="BB887" s="5"/>
      <c r="BC887" s="5"/>
    </row>
    <row r="888" ht="15.75" customHeight="1">
      <c r="U888" s="52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5"/>
      <c r="BB888" s="5"/>
      <c r="BC888" s="5"/>
    </row>
    <row r="889" ht="15.75" customHeight="1">
      <c r="U889" s="52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5"/>
      <c r="BB889" s="5"/>
      <c r="BC889" s="5"/>
    </row>
    <row r="890" ht="15.75" customHeight="1">
      <c r="U890" s="52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5"/>
      <c r="BB890" s="5"/>
      <c r="BC890" s="5"/>
    </row>
    <row r="891" ht="15.75" customHeight="1">
      <c r="U891" s="52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5"/>
      <c r="BB891" s="5"/>
      <c r="BC891" s="5"/>
    </row>
    <row r="892" ht="15.75" customHeight="1">
      <c r="U892" s="52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5"/>
      <c r="BB892" s="5"/>
      <c r="BC892" s="5"/>
    </row>
    <row r="893" ht="15.75" customHeight="1">
      <c r="U893" s="52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5"/>
      <c r="BB893" s="5"/>
      <c r="BC893" s="5"/>
    </row>
    <row r="894" ht="15.75" customHeight="1">
      <c r="U894" s="52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5"/>
      <c r="BB894" s="5"/>
      <c r="BC894" s="5"/>
    </row>
    <row r="895" ht="15.75" customHeight="1">
      <c r="U895" s="52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5"/>
      <c r="BB895" s="5"/>
      <c r="BC895" s="5"/>
    </row>
    <row r="896" ht="15.75" customHeight="1">
      <c r="U896" s="52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5"/>
      <c r="BB896" s="5"/>
      <c r="BC896" s="5"/>
    </row>
    <row r="897" ht="15.75" customHeight="1">
      <c r="U897" s="52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5"/>
      <c r="BB897" s="5"/>
      <c r="BC897" s="5"/>
    </row>
    <row r="898" ht="15.75" customHeight="1">
      <c r="U898" s="52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5"/>
      <c r="BB898" s="5"/>
      <c r="BC898" s="5"/>
    </row>
    <row r="899" ht="15.75" customHeight="1">
      <c r="U899" s="52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5"/>
      <c r="BB899" s="5"/>
      <c r="BC899" s="5"/>
    </row>
    <row r="900" ht="15.75" customHeight="1">
      <c r="U900" s="52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5"/>
      <c r="BB900" s="5"/>
      <c r="BC900" s="5"/>
    </row>
    <row r="901" ht="15.75" customHeight="1">
      <c r="U901" s="52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5"/>
      <c r="BB901" s="5"/>
      <c r="BC901" s="5"/>
    </row>
    <row r="902" ht="15.75" customHeight="1">
      <c r="U902" s="52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5"/>
      <c r="BB902" s="5"/>
      <c r="BC902" s="5"/>
    </row>
    <row r="903" ht="15.75" customHeight="1">
      <c r="U903" s="52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5"/>
      <c r="BB903" s="5"/>
      <c r="BC903" s="5"/>
    </row>
    <row r="904" ht="15.75" customHeight="1">
      <c r="U904" s="52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5"/>
      <c r="BB904" s="5"/>
      <c r="BC904" s="5"/>
    </row>
    <row r="905" ht="15.75" customHeight="1">
      <c r="U905" s="52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5"/>
      <c r="BB905" s="5"/>
      <c r="BC905" s="5"/>
    </row>
    <row r="906" ht="15.75" customHeight="1">
      <c r="U906" s="52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5"/>
      <c r="BB906" s="5"/>
      <c r="BC906" s="5"/>
    </row>
    <row r="907" ht="15.75" customHeight="1">
      <c r="U907" s="52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5"/>
      <c r="BB907" s="5"/>
      <c r="BC907" s="5"/>
    </row>
    <row r="908" ht="15.75" customHeight="1">
      <c r="U908" s="52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5"/>
      <c r="BB908" s="5"/>
      <c r="BC908" s="5"/>
    </row>
    <row r="909" ht="15.75" customHeight="1">
      <c r="U909" s="52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5"/>
      <c r="BB909" s="5"/>
      <c r="BC909" s="5"/>
    </row>
    <row r="910" ht="15.75" customHeight="1">
      <c r="U910" s="52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5"/>
      <c r="BB910" s="5"/>
      <c r="BC910" s="5"/>
    </row>
    <row r="911" ht="15.75" customHeight="1">
      <c r="U911" s="52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5"/>
      <c r="BB911" s="5"/>
      <c r="BC911" s="5"/>
    </row>
    <row r="912" ht="15.75" customHeight="1">
      <c r="U912" s="52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5"/>
      <c r="BB912" s="5"/>
      <c r="BC912" s="5"/>
    </row>
    <row r="913" ht="15.75" customHeight="1">
      <c r="U913" s="52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5"/>
      <c r="BB913" s="5"/>
      <c r="BC913" s="5"/>
    </row>
    <row r="914" ht="15.75" customHeight="1">
      <c r="U914" s="52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5"/>
      <c r="BB914" s="5"/>
      <c r="BC914" s="5"/>
    </row>
    <row r="915" ht="15.75" customHeight="1">
      <c r="U915" s="52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5"/>
      <c r="BB915" s="5"/>
      <c r="BC915" s="5"/>
    </row>
    <row r="916" ht="15.75" customHeight="1">
      <c r="U916" s="52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5"/>
      <c r="BB916" s="5"/>
      <c r="BC916" s="5"/>
    </row>
    <row r="917" ht="15.75" customHeight="1">
      <c r="U917" s="52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5"/>
      <c r="BB917" s="5"/>
      <c r="BC917" s="5"/>
    </row>
    <row r="918" ht="15.75" customHeight="1">
      <c r="U918" s="52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5"/>
      <c r="BB918" s="5"/>
      <c r="BC918" s="5"/>
    </row>
    <row r="919" ht="15.75" customHeight="1">
      <c r="U919" s="52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5"/>
      <c r="BB919" s="5"/>
      <c r="BC919" s="5"/>
    </row>
    <row r="920" ht="15.75" customHeight="1">
      <c r="U920" s="52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5"/>
      <c r="BB920" s="5"/>
      <c r="BC920" s="5"/>
    </row>
    <row r="921" ht="15.75" customHeight="1">
      <c r="U921" s="52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5"/>
      <c r="BB921" s="5"/>
      <c r="BC921" s="5"/>
    </row>
    <row r="922" ht="15.75" customHeight="1">
      <c r="U922" s="52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5"/>
      <c r="BB922" s="5"/>
      <c r="BC922" s="5"/>
    </row>
    <row r="923" ht="15.75" customHeight="1">
      <c r="U923" s="52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5"/>
      <c r="BB923" s="5"/>
      <c r="BC923" s="5"/>
    </row>
    <row r="924" ht="15.75" customHeight="1">
      <c r="U924" s="52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5"/>
      <c r="BB924" s="5"/>
      <c r="BC924" s="5"/>
    </row>
    <row r="925" ht="15.75" customHeight="1">
      <c r="U925" s="52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5"/>
      <c r="BB925" s="5"/>
      <c r="BC925" s="5"/>
    </row>
    <row r="926" ht="15.75" customHeight="1">
      <c r="U926" s="52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5"/>
      <c r="BB926" s="5"/>
      <c r="BC926" s="5"/>
    </row>
    <row r="927" ht="15.75" customHeight="1">
      <c r="U927" s="52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5"/>
      <c r="BB927" s="5"/>
      <c r="BC927" s="5"/>
    </row>
    <row r="928" ht="15.75" customHeight="1">
      <c r="U928" s="52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5"/>
      <c r="BB928" s="5"/>
      <c r="BC928" s="5"/>
    </row>
    <row r="929" ht="15.75" customHeight="1">
      <c r="U929" s="52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5"/>
      <c r="BB929" s="5"/>
      <c r="BC929" s="5"/>
    </row>
    <row r="930" ht="15.75" customHeight="1">
      <c r="U930" s="52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5"/>
      <c r="BB930" s="5"/>
      <c r="BC930" s="5"/>
    </row>
    <row r="931" ht="15.75" customHeight="1">
      <c r="U931" s="52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5"/>
      <c r="BB931" s="5"/>
      <c r="BC931" s="5"/>
    </row>
    <row r="932" ht="15.75" customHeight="1">
      <c r="U932" s="52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5"/>
      <c r="BB932" s="5"/>
      <c r="BC932" s="5"/>
    </row>
    <row r="933" ht="15.75" customHeight="1">
      <c r="U933" s="52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5"/>
      <c r="BB933" s="5"/>
      <c r="BC933" s="5"/>
    </row>
    <row r="934" ht="15.75" customHeight="1">
      <c r="U934" s="52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5"/>
      <c r="BB934" s="5"/>
      <c r="BC934" s="5"/>
    </row>
    <row r="935" ht="15.75" customHeight="1">
      <c r="U935" s="52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5"/>
      <c r="BB935" s="5"/>
      <c r="BC935" s="5"/>
    </row>
    <row r="936" ht="15.75" customHeight="1">
      <c r="U936" s="52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5"/>
      <c r="BB936" s="5"/>
      <c r="BC936" s="5"/>
    </row>
    <row r="937" ht="15.75" customHeight="1">
      <c r="U937" s="52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5"/>
      <c r="BB937" s="5"/>
      <c r="BC937" s="5"/>
    </row>
    <row r="938" ht="15.75" customHeight="1">
      <c r="U938" s="52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5"/>
      <c r="BB938" s="5"/>
      <c r="BC938" s="5"/>
    </row>
    <row r="939" ht="15.75" customHeight="1">
      <c r="U939" s="52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5"/>
      <c r="BB939" s="5"/>
      <c r="BC939" s="5"/>
    </row>
    <row r="940" ht="15.75" customHeight="1">
      <c r="U940" s="52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5"/>
      <c r="BB940" s="5"/>
      <c r="BC940" s="5"/>
    </row>
    <row r="941" ht="15.75" customHeight="1">
      <c r="U941" s="52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5"/>
      <c r="BB941" s="5"/>
      <c r="BC941" s="5"/>
    </row>
    <row r="942" ht="15.75" customHeight="1">
      <c r="U942" s="52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5"/>
      <c r="BB942" s="5"/>
      <c r="BC942" s="5"/>
    </row>
    <row r="943" ht="15.75" customHeight="1">
      <c r="U943" s="52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5"/>
      <c r="BB943" s="5"/>
      <c r="BC943" s="5"/>
    </row>
    <row r="944" ht="15.75" customHeight="1">
      <c r="U944" s="52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5"/>
      <c r="BB944" s="5"/>
      <c r="BC944" s="5"/>
    </row>
    <row r="945" ht="15.75" customHeight="1">
      <c r="U945" s="52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5"/>
      <c r="BB945" s="5"/>
      <c r="BC945" s="5"/>
    </row>
    <row r="946" ht="15.75" customHeight="1">
      <c r="U946" s="52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5"/>
      <c r="BB946" s="5"/>
      <c r="BC946" s="5"/>
    </row>
    <row r="947" ht="15.75" customHeight="1">
      <c r="U947" s="52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5"/>
      <c r="BB947" s="5"/>
      <c r="BC947" s="5"/>
    </row>
    <row r="948" ht="15.75" customHeight="1">
      <c r="U948" s="52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5"/>
      <c r="BB948" s="5"/>
      <c r="BC948" s="5"/>
    </row>
    <row r="949" ht="15.75" customHeight="1">
      <c r="U949" s="52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5"/>
      <c r="BB949" s="5"/>
      <c r="BC949" s="5"/>
    </row>
    <row r="950" ht="15.75" customHeight="1">
      <c r="U950" s="52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5"/>
      <c r="BB950" s="5"/>
      <c r="BC950" s="5"/>
    </row>
    <row r="951" ht="15.75" customHeight="1">
      <c r="U951" s="52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5"/>
      <c r="BB951" s="5"/>
      <c r="BC951" s="5"/>
    </row>
    <row r="952" ht="15.75" customHeight="1">
      <c r="U952" s="52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5"/>
      <c r="BB952" s="5"/>
      <c r="BC952" s="5"/>
    </row>
    <row r="953" ht="15.75" customHeight="1">
      <c r="U953" s="52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5"/>
      <c r="BB953" s="5"/>
      <c r="BC953" s="5"/>
    </row>
    <row r="954" ht="15.75" customHeight="1">
      <c r="U954" s="52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5"/>
      <c r="BB954" s="5"/>
      <c r="BC954" s="5"/>
    </row>
    <row r="955" ht="15.75" customHeight="1">
      <c r="U955" s="52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5"/>
      <c r="BB955" s="5"/>
      <c r="BC955" s="5"/>
    </row>
    <row r="956" ht="15.75" customHeight="1">
      <c r="U956" s="52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5"/>
      <c r="BB956" s="5"/>
      <c r="BC956" s="5"/>
    </row>
    <row r="957" ht="15.75" customHeight="1">
      <c r="U957" s="52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5"/>
      <c r="BB957" s="5"/>
      <c r="BC957" s="5"/>
    </row>
    <row r="958" ht="15.75" customHeight="1">
      <c r="U958" s="52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5"/>
      <c r="BB958" s="5"/>
      <c r="BC958" s="5"/>
    </row>
    <row r="959" ht="15.75" customHeight="1">
      <c r="U959" s="52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5"/>
      <c r="BB959" s="5"/>
      <c r="BC959" s="5"/>
    </row>
    <row r="960" ht="15.75" customHeight="1">
      <c r="U960" s="52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5"/>
      <c r="BB960" s="5"/>
      <c r="BC960" s="5"/>
    </row>
    <row r="961" ht="15.75" customHeight="1">
      <c r="U961" s="52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5"/>
      <c r="BB961" s="5"/>
      <c r="BC961" s="5"/>
    </row>
    <row r="962" ht="15.75" customHeight="1">
      <c r="U962" s="52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5"/>
      <c r="BB962" s="5"/>
      <c r="BC962" s="5"/>
    </row>
    <row r="963" ht="15.75" customHeight="1">
      <c r="U963" s="52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5"/>
      <c r="BB963" s="5"/>
      <c r="BC963" s="5"/>
    </row>
    <row r="964" ht="15.75" customHeight="1">
      <c r="U964" s="52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5"/>
      <c r="BB964" s="5"/>
      <c r="BC964" s="5"/>
    </row>
    <row r="965" ht="15.75" customHeight="1">
      <c r="U965" s="52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5"/>
      <c r="BB965" s="5"/>
      <c r="BC965" s="5"/>
    </row>
    <row r="966" ht="15.75" customHeight="1">
      <c r="U966" s="52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5"/>
      <c r="BB966" s="5"/>
      <c r="BC966" s="5"/>
    </row>
    <row r="967" ht="15.75" customHeight="1">
      <c r="U967" s="52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5"/>
      <c r="BB967" s="5"/>
      <c r="BC967" s="5"/>
    </row>
    <row r="968" ht="15.75" customHeight="1">
      <c r="U968" s="52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5"/>
      <c r="BB968" s="5"/>
      <c r="BC968" s="5"/>
    </row>
    <row r="969" ht="15.75" customHeight="1">
      <c r="U969" s="52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5"/>
      <c r="BB969" s="5"/>
      <c r="BC969" s="5"/>
    </row>
    <row r="970" ht="15.75" customHeight="1">
      <c r="U970" s="52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5"/>
      <c r="BB970" s="5"/>
      <c r="BC970" s="5"/>
    </row>
    <row r="971" ht="15.75" customHeight="1">
      <c r="U971" s="52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5"/>
      <c r="BB971" s="5"/>
      <c r="BC971" s="5"/>
    </row>
    <row r="972" ht="15.75" customHeight="1">
      <c r="U972" s="52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5"/>
      <c r="BB972" s="5"/>
      <c r="BC972" s="5"/>
    </row>
    <row r="973" ht="15.75" customHeight="1">
      <c r="U973" s="52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5"/>
      <c r="BB973" s="5"/>
      <c r="BC973" s="5"/>
    </row>
    <row r="974" ht="15.75" customHeight="1">
      <c r="U974" s="52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5"/>
      <c r="BB974" s="5"/>
      <c r="BC974" s="5"/>
    </row>
    <row r="975" ht="15.75" customHeight="1">
      <c r="U975" s="52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5"/>
      <c r="BB975" s="5"/>
      <c r="BC975" s="5"/>
    </row>
    <row r="976" ht="15.75" customHeight="1">
      <c r="U976" s="52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5"/>
      <c r="BB976" s="5"/>
      <c r="BC976" s="5"/>
    </row>
    <row r="977" ht="15.75" customHeight="1">
      <c r="U977" s="52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5"/>
      <c r="BB977" s="5"/>
      <c r="BC977" s="5"/>
    </row>
    <row r="978" ht="15.75" customHeight="1">
      <c r="U978" s="52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5"/>
      <c r="BB978" s="5"/>
      <c r="BC978" s="5"/>
    </row>
    <row r="979" ht="15.75" customHeight="1">
      <c r="U979" s="52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5"/>
      <c r="BB979" s="5"/>
      <c r="BC979" s="5"/>
    </row>
    <row r="980" ht="15.75" customHeight="1">
      <c r="U980" s="52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5"/>
      <c r="BB980" s="5"/>
      <c r="BC980" s="5"/>
    </row>
    <row r="981" ht="15.75" customHeight="1">
      <c r="U981" s="52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5"/>
      <c r="BB981" s="5"/>
      <c r="BC981" s="5"/>
    </row>
    <row r="982" ht="15.75" customHeight="1">
      <c r="U982" s="52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5"/>
      <c r="BB982" s="5"/>
      <c r="BC982" s="5"/>
    </row>
    <row r="983" ht="15.75" customHeight="1">
      <c r="U983" s="52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5"/>
      <c r="BB983" s="5"/>
      <c r="BC983" s="5"/>
    </row>
    <row r="984" ht="15.75" customHeight="1">
      <c r="U984" s="52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5"/>
      <c r="BB984" s="5"/>
      <c r="BC984" s="5"/>
    </row>
    <row r="985" ht="15.75" customHeight="1">
      <c r="U985" s="52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5"/>
      <c r="BB985" s="5"/>
      <c r="BC985" s="5"/>
    </row>
    <row r="986" ht="15.75" customHeight="1">
      <c r="U986" s="52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5"/>
      <c r="BB986" s="5"/>
      <c r="BC986" s="5"/>
    </row>
    <row r="987" ht="15.75" customHeight="1">
      <c r="U987" s="52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5"/>
      <c r="BB987" s="5"/>
      <c r="BC987" s="5"/>
    </row>
    <row r="988" ht="15.75" customHeight="1">
      <c r="U988" s="52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5"/>
      <c r="BB988" s="5"/>
      <c r="BC988" s="5"/>
    </row>
    <row r="989" ht="15.75" customHeight="1">
      <c r="U989" s="52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5"/>
      <c r="BB989" s="5"/>
      <c r="BC989" s="5"/>
    </row>
    <row r="990" ht="15.75" customHeight="1">
      <c r="U990" s="52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5"/>
      <c r="BB990" s="5"/>
      <c r="BC990" s="5"/>
    </row>
    <row r="991" ht="15.75" customHeight="1">
      <c r="U991" s="52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5"/>
      <c r="BB991" s="5"/>
      <c r="BC991" s="5"/>
    </row>
    <row r="992" ht="15.75" customHeight="1">
      <c r="U992" s="52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5"/>
      <c r="BB992" s="5"/>
      <c r="BC992" s="5"/>
    </row>
    <row r="993" ht="15.75" customHeight="1">
      <c r="U993" s="52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5"/>
      <c r="BB993" s="5"/>
      <c r="BC993" s="5"/>
    </row>
    <row r="994" ht="15.75" customHeight="1">
      <c r="U994" s="52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5"/>
      <c r="BB994" s="5"/>
      <c r="BC994" s="5"/>
    </row>
    <row r="995" ht="15.75" customHeight="1">
      <c r="U995" s="52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5"/>
      <c r="BB995" s="5"/>
      <c r="BC995" s="5"/>
    </row>
    <row r="996" ht="15.75" customHeight="1">
      <c r="U996" s="52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5"/>
      <c r="BB996" s="5"/>
      <c r="BC996" s="5"/>
    </row>
    <row r="997" ht="15.75" customHeight="1">
      <c r="U997" s="52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5"/>
      <c r="BB997" s="5"/>
      <c r="BC997" s="5"/>
    </row>
    <row r="998" ht="15.75" customHeight="1">
      <c r="U998" s="52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5"/>
      <c r="BB998" s="5"/>
      <c r="BC998" s="5"/>
    </row>
    <row r="999" ht="15.75" customHeight="1">
      <c r="U999" s="52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5"/>
      <c r="BB999" s="5"/>
      <c r="BC999" s="5"/>
    </row>
    <row r="1000" ht="15.75" customHeight="1">
      <c r="U1000" s="52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5"/>
      <c r="BB1000" s="5"/>
      <c r="BC1000" s="5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Col="1"/>
  <cols>
    <col customWidth="1" min="1" max="1" width="24.14"/>
    <col customWidth="1" min="2" max="11" width="8.86"/>
    <col customWidth="1" min="12" max="50" width="9.14" outlineLevel="1"/>
    <col customWidth="1" hidden="1" min="51" max="51" width="9.14" outlineLevel="1"/>
    <col customWidth="1" min="52" max="53" width="8.86"/>
  </cols>
  <sheetData>
    <row r="1">
      <c r="A1" s="1" t="s">
        <v>135</v>
      </c>
      <c r="B1" s="1"/>
      <c r="D1" s="2"/>
      <c r="F1" s="3"/>
      <c r="H1" s="4"/>
      <c r="W1" s="5"/>
      <c r="AG1" s="6"/>
    </row>
    <row r="2">
      <c r="W2" s="5"/>
      <c r="AG2" s="6"/>
    </row>
    <row r="3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10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36</v>
      </c>
      <c r="AK3" s="8" t="s">
        <v>37</v>
      </c>
      <c r="AL3" s="8" t="s">
        <v>38</v>
      </c>
      <c r="AM3" s="8" t="s">
        <v>39</v>
      </c>
      <c r="AN3" s="8" t="s">
        <v>40</v>
      </c>
      <c r="AO3" s="8" t="s">
        <v>41</v>
      </c>
      <c r="AP3" s="8" t="s">
        <v>42</v>
      </c>
      <c r="AQ3" s="8" t="s">
        <v>43</v>
      </c>
      <c r="AR3" s="8" t="s">
        <v>44</v>
      </c>
      <c r="AS3" s="8" t="s">
        <v>45</v>
      </c>
      <c r="AT3" s="8" t="s">
        <v>46</v>
      </c>
      <c r="AU3" s="8" t="s">
        <v>47</v>
      </c>
      <c r="AV3" s="8" t="s">
        <v>48</v>
      </c>
      <c r="AW3" s="8" t="s">
        <v>49</v>
      </c>
      <c r="AX3" s="8" t="s">
        <v>50</v>
      </c>
      <c r="AY3" s="8" t="s">
        <v>129</v>
      </c>
      <c r="BA3" s="56" t="s">
        <v>136</v>
      </c>
    </row>
    <row r="4">
      <c r="A4" s="8"/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0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BA4" s="1"/>
    </row>
    <row r="5">
      <c r="A5" s="14" t="s">
        <v>61</v>
      </c>
      <c r="B5" s="16"/>
      <c r="C5" s="16">
        <v>1.0</v>
      </c>
      <c r="D5" s="16"/>
      <c r="E5" s="16"/>
      <c r="F5" s="16">
        <v>2.0</v>
      </c>
      <c r="G5" s="16">
        <v>1.0</v>
      </c>
      <c r="H5" s="16">
        <v>3.0</v>
      </c>
      <c r="I5" s="16">
        <v>1.0</v>
      </c>
      <c r="J5" s="16">
        <v>1.0</v>
      </c>
      <c r="K5" s="16"/>
      <c r="L5" s="16"/>
      <c r="M5" s="16"/>
      <c r="N5" s="16">
        <v>3.0</v>
      </c>
      <c r="O5" s="16"/>
      <c r="P5" s="16">
        <v>1.0</v>
      </c>
      <c r="Q5" s="16"/>
      <c r="R5" s="16">
        <v>3.0</v>
      </c>
      <c r="S5" s="16"/>
      <c r="T5" s="57"/>
      <c r="U5" s="16">
        <v>1.0</v>
      </c>
      <c r="V5" s="16"/>
      <c r="W5" s="16"/>
      <c r="X5" s="57"/>
      <c r="Y5" s="16"/>
      <c r="Z5" s="57"/>
      <c r="AA5" s="16"/>
      <c r="AB5" s="16">
        <v>2.0</v>
      </c>
      <c r="AC5" s="16"/>
      <c r="AD5" s="16">
        <v>1.0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BA5" s="46">
        <f t="shared" ref="BA5:BA37" si="1">SUM(B5:AY5)</f>
        <v>20</v>
      </c>
    </row>
    <row r="6">
      <c r="A6" s="32" t="s">
        <v>73</v>
      </c>
      <c r="B6" s="58"/>
      <c r="C6" s="59"/>
      <c r="D6" s="58"/>
      <c r="E6" s="58"/>
      <c r="F6" s="58"/>
      <c r="G6" s="58"/>
      <c r="H6" s="58"/>
      <c r="I6" s="58"/>
      <c r="J6" s="60">
        <v>1.0</v>
      </c>
      <c r="K6" s="56"/>
      <c r="L6" s="61"/>
      <c r="M6" s="62">
        <v>2.0</v>
      </c>
      <c r="N6" s="61"/>
      <c r="O6" s="61"/>
      <c r="P6" s="62">
        <v>3.0</v>
      </c>
      <c r="Q6" s="62">
        <v>2.0</v>
      </c>
      <c r="R6" s="61"/>
      <c r="S6" s="61"/>
      <c r="T6" s="63"/>
      <c r="U6" s="61"/>
      <c r="V6" s="62">
        <v>3.0</v>
      </c>
      <c r="W6" s="64"/>
      <c r="X6" s="63"/>
      <c r="Y6" s="61"/>
      <c r="Z6" s="63"/>
      <c r="AA6" s="62">
        <v>2.0</v>
      </c>
      <c r="AB6" s="61"/>
      <c r="AC6" s="62">
        <v>2.0</v>
      </c>
      <c r="AD6" s="62">
        <v>3.0</v>
      </c>
      <c r="AE6" s="62">
        <v>1.0</v>
      </c>
      <c r="AF6" s="61"/>
      <c r="AG6" s="65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BA6" s="46">
        <f t="shared" si="1"/>
        <v>19</v>
      </c>
    </row>
    <row r="7">
      <c r="A7" s="27" t="s">
        <v>77</v>
      </c>
      <c r="B7" s="29"/>
      <c r="C7" s="29"/>
      <c r="D7" s="29">
        <v>2.0</v>
      </c>
      <c r="E7" s="29"/>
      <c r="F7" s="29"/>
      <c r="G7" s="29">
        <v>1.0</v>
      </c>
      <c r="H7" s="29">
        <v>2.0</v>
      </c>
      <c r="I7" s="29"/>
      <c r="J7" s="29"/>
      <c r="K7" s="66">
        <v>1.0</v>
      </c>
      <c r="L7" s="29">
        <v>1.0</v>
      </c>
      <c r="M7" s="29">
        <v>1.0</v>
      </c>
      <c r="N7" s="29">
        <v>1.0</v>
      </c>
      <c r="O7" s="29">
        <v>1.0</v>
      </c>
      <c r="P7" s="29"/>
      <c r="Q7" s="29"/>
      <c r="R7" s="29"/>
      <c r="S7" s="29"/>
      <c r="T7" s="67"/>
      <c r="U7" s="29"/>
      <c r="V7" s="29"/>
      <c r="W7" s="29">
        <v>1.0</v>
      </c>
      <c r="X7" s="67"/>
      <c r="Y7" s="29"/>
      <c r="Z7" s="67"/>
      <c r="AA7" s="29"/>
      <c r="AB7" s="29">
        <v>1.0</v>
      </c>
      <c r="AC7" s="29"/>
      <c r="AD7" s="29">
        <v>1.0</v>
      </c>
      <c r="AE7" s="29"/>
      <c r="AF7" s="29">
        <v>4.0</v>
      </c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BA7" s="46">
        <f t="shared" si="1"/>
        <v>17</v>
      </c>
    </row>
    <row r="8">
      <c r="A8" s="14" t="s">
        <v>60</v>
      </c>
      <c r="B8" s="16"/>
      <c r="C8" s="16"/>
      <c r="D8" s="16"/>
      <c r="E8" s="16"/>
      <c r="F8" s="16"/>
      <c r="G8" s="16">
        <v>1.0</v>
      </c>
      <c r="H8" s="16"/>
      <c r="I8" s="16">
        <v>1.0</v>
      </c>
      <c r="J8" s="16">
        <v>3.0</v>
      </c>
      <c r="K8" s="68"/>
      <c r="L8" s="16">
        <v>4.0</v>
      </c>
      <c r="M8" s="16"/>
      <c r="N8" s="16">
        <v>2.0</v>
      </c>
      <c r="O8" s="16"/>
      <c r="P8" s="16"/>
      <c r="Q8" s="16">
        <v>1.0</v>
      </c>
      <c r="R8" s="16"/>
      <c r="S8" s="16"/>
      <c r="T8" s="57"/>
      <c r="U8" s="16"/>
      <c r="V8" s="16"/>
      <c r="W8" s="16"/>
      <c r="X8" s="57"/>
      <c r="Y8" s="16"/>
      <c r="Z8" s="57"/>
      <c r="AA8" s="16"/>
      <c r="AB8" s="16">
        <v>1.0</v>
      </c>
      <c r="AC8" s="16">
        <v>1.0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BA8" s="46">
        <f t="shared" si="1"/>
        <v>14</v>
      </c>
    </row>
    <row r="9">
      <c r="A9" s="32" t="s">
        <v>76</v>
      </c>
      <c r="B9" s="34"/>
      <c r="C9" s="34"/>
      <c r="D9" s="34"/>
      <c r="E9" s="34"/>
      <c r="F9" s="34"/>
      <c r="G9" s="34"/>
      <c r="H9" s="34"/>
      <c r="I9" s="34">
        <v>1.0</v>
      </c>
      <c r="J9" s="34"/>
      <c r="K9" s="69"/>
      <c r="L9" s="34"/>
      <c r="M9" s="34"/>
      <c r="N9" s="34"/>
      <c r="O9" s="34">
        <v>1.0</v>
      </c>
      <c r="P9" s="34"/>
      <c r="Q9" s="34"/>
      <c r="R9" s="34"/>
      <c r="S9" s="34"/>
      <c r="T9" s="70"/>
      <c r="U9" s="34"/>
      <c r="V9" s="34">
        <v>2.0</v>
      </c>
      <c r="W9" s="34">
        <v>2.0</v>
      </c>
      <c r="X9" s="70"/>
      <c r="Y9" s="34"/>
      <c r="Z9" s="70"/>
      <c r="AA9" s="34">
        <v>1.0</v>
      </c>
      <c r="AB9" s="34">
        <v>3.0</v>
      </c>
      <c r="AC9" s="34"/>
      <c r="AD9" s="34"/>
      <c r="AE9" s="34">
        <v>1.0</v>
      </c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BA9" s="46">
        <f t="shared" si="1"/>
        <v>11</v>
      </c>
    </row>
    <row r="10">
      <c r="A10" s="32" t="s">
        <v>67</v>
      </c>
      <c r="B10" s="29"/>
      <c r="C10" s="29"/>
      <c r="D10" s="29"/>
      <c r="E10" s="29"/>
      <c r="F10" s="29"/>
      <c r="G10" s="29"/>
      <c r="H10" s="29">
        <v>2.0</v>
      </c>
      <c r="I10" s="29"/>
      <c r="J10" s="29"/>
      <c r="K10" s="66"/>
      <c r="L10" s="29"/>
      <c r="M10" s="29">
        <v>1.0</v>
      </c>
      <c r="N10" s="29"/>
      <c r="O10" s="29"/>
      <c r="P10" s="29"/>
      <c r="Q10" s="29">
        <v>1.0</v>
      </c>
      <c r="R10" s="29">
        <v>4.0</v>
      </c>
      <c r="S10" s="29"/>
      <c r="T10" s="67"/>
      <c r="U10" s="29"/>
      <c r="V10" s="29"/>
      <c r="W10" s="29">
        <v>1.0</v>
      </c>
      <c r="X10" s="67"/>
      <c r="Y10" s="29"/>
      <c r="Z10" s="67"/>
      <c r="AA10" s="29"/>
      <c r="AB10" s="29">
        <v>1.0</v>
      </c>
      <c r="AC10" s="29"/>
      <c r="AD10" s="29">
        <v>1.0</v>
      </c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BA10" s="46">
        <f t="shared" si="1"/>
        <v>11</v>
      </c>
    </row>
    <row r="11">
      <c r="A11" s="37" t="s">
        <v>68</v>
      </c>
      <c r="B11" s="29"/>
      <c r="C11" s="29"/>
      <c r="D11" s="29"/>
      <c r="E11" s="29"/>
      <c r="F11" s="29"/>
      <c r="G11" s="29">
        <v>1.0</v>
      </c>
      <c r="H11" s="29"/>
      <c r="I11" s="29"/>
      <c r="J11" s="29"/>
      <c r="K11" s="66">
        <v>2.0</v>
      </c>
      <c r="L11" s="29"/>
      <c r="M11" s="29">
        <v>1.0</v>
      </c>
      <c r="N11" s="29"/>
      <c r="O11" s="29"/>
      <c r="P11" s="29"/>
      <c r="Q11" s="29">
        <v>1.0</v>
      </c>
      <c r="R11" s="29"/>
      <c r="S11" s="29"/>
      <c r="T11" s="67"/>
      <c r="U11" s="29"/>
      <c r="V11" s="29"/>
      <c r="W11" s="29">
        <v>1.0</v>
      </c>
      <c r="X11" s="67"/>
      <c r="Y11" s="29">
        <v>1.0</v>
      </c>
      <c r="Z11" s="67"/>
      <c r="AA11" s="29"/>
      <c r="AB11" s="29">
        <v>2.0</v>
      </c>
      <c r="AC11" s="29">
        <v>1.0</v>
      </c>
      <c r="AD11" s="29"/>
      <c r="AE11" s="29"/>
      <c r="AF11" s="29">
        <v>1.0</v>
      </c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BA11" s="46">
        <f t="shared" si="1"/>
        <v>11</v>
      </c>
    </row>
    <row r="12">
      <c r="A12" s="37" t="s">
        <v>69</v>
      </c>
      <c r="B12" s="34"/>
      <c r="C12" s="34"/>
      <c r="D12" s="34"/>
      <c r="E12" s="34"/>
      <c r="F12" s="34"/>
      <c r="G12" s="34">
        <v>3.0</v>
      </c>
      <c r="H12" s="34"/>
      <c r="I12" s="34"/>
      <c r="J12" s="34"/>
      <c r="K12" s="34"/>
      <c r="L12" s="34">
        <v>1.0</v>
      </c>
      <c r="M12" s="34"/>
      <c r="N12" s="34"/>
      <c r="O12" s="34"/>
      <c r="P12" s="34"/>
      <c r="Q12" s="34"/>
      <c r="R12" s="34"/>
      <c r="S12" s="34"/>
      <c r="T12" s="70"/>
      <c r="U12" s="34"/>
      <c r="V12" s="34"/>
      <c r="W12" s="34">
        <v>1.0</v>
      </c>
      <c r="X12" s="70"/>
      <c r="Y12" s="34"/>
      <c r="Z12" s="70"/>
      <c r="AA12" s="34">
        <v>1.0</v>
      </c>
      <c r="AB12" s="34">
        <v>1.0</v>
      </c>
      <c r="AC12" s="34">
        <v>1.0</v>
      </c>
      <c r="AD12" s="34">
        <v>1.0</v>
      </c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BA12" s="46">
        <f t="shared" si="1"/>
        <v>9</v>
      </c>
    </row>
    <row r="13">
      <c r="A13" s="37" t="s">
        <v>59</v>
      </c>
      <c r="B13" s="29"/>
      <c r="C13" s="29"/>
      <c r="D13" s="29"/>
      <c r="E13" s="29"/>
      <c r="F13" s="29"/>
      <c r="G13" s="29"/>
      <c r="H13" s="29"/>
      <c r="I13" s="29"/>
      <c r="J13" s="29">
        <v>4.0</v>
      </c>
      <c r="K13" s="29"/>
      <c r="L13" s="29"/>
      <c r="M13" s="29"/>
      <c r="N13" s="29">
        <v>1.0</v>
      </c>
      <c r="O13" s="29"/>
      <c r="P13" s="29">
        <v>1.0</v>
      </c>
      <c r="Q13" s="29">
        <v>1.0</v>
      </c>
      <c r="R13" s="29">
        <v>2.0</v>
      </c>
      <c r="S13" s="29"/>
      <c r="T13" s="67"/>
      <c r="U13" s="29"/>
      <c r="V13" s="29"/>
      <c r="W13" s="29"/>
      <c r="X13" s="67"/>
      <c r="Y13" s="29"/>
      <c r="Z13" s="67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BA13" s="46">
        <f t="shared" si="1"/>
        <v>9</v>
      </c>
    </row>
    <row r="14">
      <c r="A14" s="37" t="s">
        <v>137</v>
      </c>
      <c r="B14" s="29"/>
      <c r="C14" s="29"/>
      <c r="D14" s="29"/>
      <c r="E14" s="29"/>
      <c r="F14" s="29"/>
      <c r="G14" s="29"/>
      <c r="H14" s="29"/>
      <c r="I14" s="29"/>
      <c r="J14" s="29"/>
      <c r="K14" s="29">
        <v>1.0</v>
      </c>
      <c r="L14" s="29">
        <v>1.0</v>
      </c>
      <c r="M14" s="29"/>
      <c r="N14" s="29"/>
      <c r="O14" s="29"/>
      <c r="P14" s="29"/>
      <c r="Q14" s="29"/>
      <c r="R14" s="29">
        <v>1.0</v>
      </c>
      <c r="S14" s="29"/>
      <c r="T14" s="67"/>
      <c r="U14" s="29"/>
      <c r="V14" s="29"/>
      <c r="W14" s="29"/>
      <c r="X14" s="67"/>
      <c r="Y14" s="29"/>
      <c r="Z14" s="67"/>
      <c r="AA14" s="29">
        <v>1.0</v>
      </c>
      <c r="AB14" s="29"/>
      <c r="AC14" s="29"/>
      <c r="AD14" s="29">
        <v>1.0</v>
      </c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BA14" s="46">
        <f t="shared" si="1"/>
        <v>5</v>
      </c>
    </row>
    <row r="15">
      <c r="A15" s="37" t="s">
        <v>72</v>
      </c>
      <c r="B15" s="29"/>
      <c r="C15" s="29">
        <v>1.0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67"/>
      <c r="U15" s="29"/>
      <c r="V15" s="29"/>
      <c r="W15" s="29"/>
      <c r="X15" s="67"/>
      <c r="Y15" s="29"/>
      <c r="Z15" s="67"/>
      <c r="AA15" s="29"/>
      <c r="AB15" s="29"/>
      <c r="AC15" s="29"/>
      <c r="AD15" s="29">
        <v>2.0</v>
      </c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BA15" s="46">
        <f t="shared" si="1"/>
        <v>3</v>
      </c>
    </row>
    <row r="16">
      <c r="A16" s="37" t="s">
        <v>81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>
        <v>1.0</v>
      </c>
      <c r="O16" s="29"/>
      <c r="P16" s="29"/>
      <c r="Q16" s="29"/>
      <c r="R16" s="29"/>
      <c r="S16" s="29"/>
      <c r="T16" s="67"/>
      <c r="U16" s="29"/>
      <c r="V16" s="29">
        <v>1.0</v>
      </c>
      <c r="W16" s="29"/>
      <c r="X16" s="67"/>
      <c r="Y16" s="29"/>
      <c r="Z16" s="67"/>
      <c r="AA16" s="29"/>
      <c r="AB16" s="29"/>
      <c r="AC16" s="29"/>
      <c r="AD16" s="29"/>
      <c r="AE16" s="29"/>
      <c r="AF16" s="29">
        <v>1.0</v>
      </c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BA16" s="46">
        <f t="shared" si="1"/>
        <v>3</v>
      </c>
    </row>
    <row r="17">
      <c r="A17" s="37" t="s">
        <v>84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67"/>
      <c r="U17" s="29"/>
      <c r="V17" s="29"/>
      <c r="W17" s="29"/>
      <c r="X17" s="67"/>
      <c r="Y17" s="29"/>
      <c r="Z17" s="67"/>
      <c r="AA17" s="29"/>
      <c r="AB17" s="29"/>
      <c r="AC17" s="29"/>
      <c r="AD17" s="29"/>
      <c r="AE17" s="29">
        <v>1.0</v>
      </c>
      <c r="AF17" s="29">
        <v>1.0</v>
      </c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BA17" s="46">
        <f t="shared" si="1"/>
        <v>2</v>
      </c>
    </row>
    <row r="18">
      <c r="A18" s="37" t="s">
        <v>83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>
        <v>2.0</v>
      </c>
      <c r="M18" s="29"/>
      <c r="N18" s="29"/>
      <c r="O18" s="29"/>
      <c r="P18" s="29"/>
      <c r="Q18" s="29"/>
      <c r="R18" s="29"/>
      <c r="S18" s="29"/>
      <c r="T18" s="67"/>
      <c r="U18" s="29"/>
      <c r="V18" s="29"/>
      <c r="W18" s="29"/>
      <c r="X18" s="67"/>
      <c r="Y18" s="29"/>
      <c r="Z18" s="67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BA18" s="46">
        <f t="shared" si="1"/>
        <v>2</v>
      </c>
    </row>
    <row r="19">
      <c r="A19" s="37" t="s">
        <v>86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v>1.0</v>
      </c>
      <c r="S19" s="29"/>
      <c r="T19" s="67"/>
      <c r="U19" s="29"/>
      <c r="V19" s="29"/>
      <c r="W19" s="29"/>
      <c r="X19" s="67"/>
      <c r="Y19" s="29"/>
      <c r="Z19" s="67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BA19" s="46">
        <f t="shared" si="1"/>
        <v>1</v>
      </c>
    </row>
    <row r="20">
      <c r="A20" s="37" t="s">
        <v>70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>
        <v>1.0</v>
      </c>
      <c r="M20" s="29"/>
      <c r="N20" s="29"/>
      <c r="O20" s="29"/>
      <c r="P20" s="29"/>
      <c r="Q20" s="29"/>
      <c r="R20" s="29"/>
      <c r="S20" s="29"/>
      <c r="T20" s="67"/>
      <c r="U20" s="29"/>
      <c r="V20" s="29"/>
      <c r="W20" s="29"/>
      <c r="X20" s="67"/>
      <c r="Y20" s="29"/>
      <c r="Z20" s="67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BA20" s="46">
        <f t="shared" si="1"/>
        <v>1</v>
      </c>
    </row>
    <row r="21" ht="15.75" customHeight="1">
      <c r="A21" s="37" t="s">
        <v>74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>
        <v>1.0</v>
      </c>
      <c r="N21" s="29"/>
      <c r="O21" s="29"/>
      <c r="P21" s="29"/>
      <c r="Q21" s="29"/>
      <c r="R21" s="29"/>
      <c r="S21" s="29"/>
      <c r="T21" s="67"/>
      <c r="U21" s="29"/>
      <c r="V21" s="29"/>
      <c r="W21" s="29"/>
      <c r="X21" s="67"/>
      <c r="Y21" s="29"/>
      <c r="Z21" s="67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BA21" s="46">
        <f t="shared" si="1"/>
        <v>1</v>
      </c>
    </row>
    <row r="22" ht="15.75" customHeight="1">
      <c r="A22" s="37" t="s">
        <v>71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>
        <v>1.0</v>
      </c>
      <c r="O22" s="29"/>
      <c r="P22" s="29"/>
      <c r="Q22" s="29"/>
      <c r="R22" s="29"/>
      <c r="S22" s="29"/>
      <c r="T22" s="67"/>
      <c r="U22" s="29"/>
      <c r="V22" s="29"/>
      <c r="W22" s="29"/>
      <c r="X22" s="67"/>
      <c r="Y22" s="29"/>
      <c r="Z22" s="67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BA22" s="46">
        <f t="shared" si="1"/>
        <v>1</v>
      </c>
    </row>
    <row r="23" ht="15.75" customHeight="1">
      <c r="A23" s="37" t="s">
        <v>127</v>
      </c>
      <c r="B23" s="29"/>
      <c r="C23" s="29">
        <v>1.0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67"/>
      <c r="U23" s="29"/>
      <c r="V23" s="29"/>
      <c r="W23" s="29"/>
      <c r="X23" s="67"/>
      <c r="Y23" s="29"/>
      <c r="Z23" s="67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BA23" s="46">
        <f t="shared" si="1"/>
        <v>1</v>
      </c>
    </row>
    <row r="24" ht="15.75" customHeight="1">
      <c r="A24" s="37" t="s">
        <v>66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>
        <v>1.0</v>
      </c>
      <c r="O24" s="29"/>
      <c r="P24" s="29"/>
      <c r="Q24" s="29"/>
      <c r="R24" s="29"/>
      <c r="S24" s="29"/>
      <c r="T24" s="67"/>
      <c r="U24" s="29"/>
      <c r="V24" s="29"/>
      <c r="W24" s="29"/>
      <c r="X24" s="67"/>
      <c r="Y24" s="29"/>
      <c r="Z24" s="67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BA24" s="46">
        <f t="shared" si="1"/>
        <v>1</v>
      </c>
    </row>
    <row r="25" ht="15.75" customHeight="1">
      <c r="A25" s="37" t="s">
        <v>138</v>
      </c>
      <c r="B25" s="29"/>
      <c r="C25" s="29">
        <v>1.0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67"/>
      <c r="U25" s="29"/>
      <c r="V25" s="29"/>
      <c r="W25" s="29"/>
      <c r="X25" s="67"/>
      <c r="Y25" s="29"/>
      <c r="Z25" s="67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BA25" s="46">
        <f t="shared" si="1"/>
        <v>1</v>
      </c>
    </row>
    <row r="26" ht="15.75" customHeight="1">
      <c r="A26" s="37" t="s">
        <v>89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67"/>
      <c r="U26" s="29"/>
      <c r="V26" s="29"/>
      <c r="W26" s="29"/>
      <c r="X26" s="67"/>
      <c r="Y26" s="29"/>
      <c r="Z26" s="67"/>
      <c r="AA26" s="29"/>
      <c r="AB26" s="29"/>
      <c r="AC26" s="29">
        <v>1.0</v>
      </c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BA26" s="46">
        <f t="shared" si="1"/>
        <v>1</v>
      </c>
    </row>
    <row r="27" ht="15.75" customHeight="1">
      <c r="A27" s="37" t="s">
        <v>80</v>
      </c>
      <c r="B27" s="29"/>
      <c r="C27" s="29"/>
      <c r="D27" s="29"/>
      <c r="E27" s="29"/>
      <c r="F27" s="29"/>
      <c r="G27" s="29">
        <v>1.0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67"/>
      <c r="U27" s="29"/>
      <c r="V27" s="29"/>
      <c r="W27" s="29"/>
      <c r="X27" s="67"/>
      <c r="Y27" s="29"/>
      <c r="Z27" s="67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BA27" s="46">
        <f t="shared" si="1"/>
        <v>1</v>
      </c>
    </row>
    <row r="28" ht="15.75" customHeight="1">
      <c r="A28" s="37" t="s">
        <v>63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67"/>
      <c r="U28" s="29"/>
      <c r="V28" s="29"/>
      <c r="W28" s="29"/>
      <c r="X28" s="67"/>
      <c r="Y28" s="29"/>
      <c r="Z28" s="67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BA28" s="46">
        <f t="shared" si="1"/>
        <v>0</v>
      </c>
    </row>
    <row r="29" ht="15.75" customHeight="1">
      <c r="A29" s="37" t="s">
        <v>79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67"/>
      <c r="U29" s="29"/>
      <c r="V29" s="29"/>
      <c r="W29" s="29"/>
      <c r="X29" s="67"/>
      <c r="Y29" s="29"/>
      <c r="Z29" s="67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BA29" s="46">
        <f t="shared" si="1"/>
        <v>0</v>
      </c>
    </row>
    <row r="30" ht="15.75" customHeight="1">
      <c r="A30" s="37" t="s">
        <v>62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67"/>
      <c r="U30" s="29"/>
      <c r="V30" s="29"/>
      <c r="W30" s="29"/>
      <c r="X30" s="67"/>
      <c r="Y30" s="29"/>
      <c r="Z30" s="67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BA30" s="46">
        <f t="shared" si="1"/>
        <v>0</v>
      </c>
    </row>
    <row r="31" ht="15.75" customHeight="1">
      <c r="A31" s="37" t="s">
        <v>65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67"/>
      <c r="U31" s="29"/>
      <c r="V31" s="29"/>
      <c r="W31" s="29"/>
      <c r="X31" s="67"/>
      <c r="Y31" s="29"/>
      <c r="Z31" s="67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BA31" s="46">
        <f t="shared" si="1"/>
        <v>0</v>
      </c>
    </row>
    <row r="32" ht="15.75" customHeight="1">
      <c r="A32" s="37" t="s">
        <v>82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67"/>
      <c r="U32" s="29"/>
      <c r="V32" s="29"/>
      <c r="W32" s="29"/>
      <c r="X32" s="67"/>
      <c r="Y32" s="29"/>
      <c r="Z32" s="67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BA32" s="46">
        <f t="shared" si="1"/>
        <v>0</v>
      </c>
    </row>
    <row r="33" ht="15.75" customHeight="1">
      <c r="A33" s="37" t="s">
        <v>88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67"/>
      <c r="U33" s="29"/>
      <c r="V33" s="29"/>
      <c r="W33" s="29"/>
      <c r="X33" s="67"/>
      <c r="Y33" s="29"/>
      <c r="Z33" s="67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BA33" s="46">
        <f t="shared" si="1"/>
        <v>0</v>
      </c>
    </row>
    <row r="34" ht="15.75" customHeight="1">
      <c r="A34" s="37" t="s">
        <v>75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67"/>
      <c r="U34" s="29"/>
      <c r="V34" s="29"/>
      <c r="W34" s="29"/>
      <c r="X34" s="67"/>
      <c r="Y34" s="29"/>
      <c r="Z34" s="67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BA34" s="46">
        <f t="shared" si="1"/>
        <v>0</v>
      </c>
    </row>
    <row r="35" ht="15.75" customHeight="1">
      <c r="A35" s="37" t="s">
        <v>95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67"/>
      <c r="U35" s="29"/>
      <c r="V35" s="29"/>
      <c r="W35" s="29"/>
      <c r="X35" s="67"/>
      <c r="Y35" s="29"/>
      <c r="Z35" s="67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BA35" s="46">
        <f t="shared" si="1"/>
        <v>0</v>
      </c>
    </row>
    <row r="36" ht="15.75" customHeight="1">
      <c r="A36" s="37" t="s">
        <v>139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67"/>
      <c r="U36" s="29"/>
      <c r="V36" s="29"/>
      <c r="W36" s="29"/>
      <c r="X36" s="67"/>
      <c r="Y36" s="29"/>
      <c r="Z36" s="67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BA36" s="46">
        <f t="shared" si="1"/>
        <v>0</v>
      </c>
    </row>
    <row r="37" ht="15.75" customHeight="1">
      <c r="A37" s="37" t="s">
        <v>87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67"/>
      <c r="U37" s="29"/>
      <c r="V37" s="29"/>
      <c r="W37" s="29"/>
      <c r="X37" s="67"/>
      <c r="Y37" s="29"/>
      <c r="Z37" s="67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BA37" s="46">
        <f t="shared" si="1"/>
        <v>0</v>
      </c>
    </row>
    <row r="38" ht="15.75" customHeight="1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ht="15.75" customHeight="1">
      <c r="A39" s="2" t="s">
        <v>140</v>
      </c>
      <c r="B39" s="5">
        <f t="shared" ref="B39:AY39" si="2">SUM(B5:B37)</f>
        <v>0</v>
      </c>
      <c r="C39" s="5">
        <f t="shared" si="2"/>
        <v>4</v>
      </c>
      <c r="D39" s="5">
        <f t="shared" si="2"/>
        <v>2</v>
      </c>
      <c r="E39" s="5">
        <f t="shared" si="2"/>
        <v>0</v>
      </c>
      <c r="F39" s="5">
        <f t="shared" si="2"/>
        <v>2</v>
      </c>
      <c r="G39" s="5">
        <f t="shared" si="2"/>
        <v>8</v>
      </c>
      <c r="H39" s="5">
        <f t="shared" si="2"/>
        <v>7</v>
      </c>
      <c r="I39" s="5">
        <f t="shared" si="2"/>
        <v>3</v>
      </c>
      <c r="J39" s="5">
        <f t="shared" si="2"/>
        <v>9</v>
      </c>
      <c r="K39" s="5">
        <f t="shared" si="2"/>
        <v>4</v>
      </c>
      <c r="L39" s="5">
        <f t="shared" si="2"/>
        <v>10</v>
      </c>
      <c r="M39" s="5">
        <f t="shared" si="2"/>
        <v>6</v>
      </c>
      <c r="N39" s="5">
        <f t="shared" si="2"/>
        <v>10</v>
      </c>
      <c r="O39" s="5">
        <f t="shared" si="2"/>
        <v>2</v>
      </c>
      <c r="P39" s="5">
        <f t="shared" si="2"/>
        <v>5</v>
      </c>
      <c r="Q39" s="5">
        <f t="shared" si="2"/>
        <v>6</v>
      </c>
      <c r="R39" s="5">
        <f t="shared" si="2"/>
        <v>11</v>
      </c>
      <c r="S39" s="5">
        <f t="shared" si="2"/>
        <v>0</v>
      </c>
      <c r="T39" s="5">
        <f t="shared" si="2"/>
        <v>0</v>
      </c>
      <c r="U39" s="5">
        <f t="shared" si="2"/>
        <v>1</v>
      </c>
      <c r="V39" s="5">
        <f t="shared" si="2"/>
        <v>6</v>
      </c>
      <c r="W39" s="5">
        <f t="shared" si="2"/>
        <v>6</v>
      </c>
      <c r="X39" s="5">
        <f t="shared" si="2"/>
        <v>0</v>
      </c>
      <c r="Y39" s="5">
        <f t="shared" si="2"/>
        <v>1</v>
      </c>
      <c r="Z39" s="5">
        <f t="shared" si="2"/>
        <v>0</v>
      </c>
      <c r="AA39" s="5">
        <f t="shared" si="2"/>
        <v>5</v>
      </c>
      <c r="AB39" s="5">
        <f t="shared" si="2"/>
        <v>11</v>
      </c>
      <c r="AC39" s="5">
        <f t="shared" si="2"/>
        <v>6</v>
      </c>
      <c r="AD39" s="5">
        <f t="shared" si="2"/>
        <v>10</v>
      </c>
      <c r="AE39" s="5">
        <f t="shared" si="2"/>
        <v>3</v>
      </c>
      <c r="AF39" s="5">
        <f t="shared" si="2"/>
        <v>7</v>
      </c>
      <c r="AG39" s="5">
        <f t="shared" si="2"/>
        <v>0</v>
      </c>
      <c r="AH39" s="5">
        <f t="shared" si="2"/>
        <v>0</v>
      </c>
      <c r="AI39" s="5">
        <f t="shared" si="2"/>
        <v>0</v>
      </c>
      <c r="AJ39" s="5">
        <f t="shared" si="2"/>
        <v>0</v>
      </c>
      <c r="AK39" s="5">
        <f t="shared" si="2"/>
        <v>0</v>
      </c>
      <c r="AL39" s="5">
        <f t="shared" si="2"/>
        <v>0</v>
      </c>
      <c r="AM39" s="5">
        <f t="shared" si="2"/>
        <v>0</v>
      </c>
      <c r="AN39" s="5">
        <f t="shared" si="2"/>
        <v>0</v>
      </c>
      <c r="AO39" s="5">
        <f t="shared" si="2"/>
        <v>0</v>
      </c>
      <c r="AP39" s="5">
        <f t="shared" si="2"/>
        <v>0</v>
      </c>
      <c r="AQ39" s="5">
        <f t="shared" si="2"/>
        <v>0</v>
      </c>
      <c r="AR39" s="5">
        <f t="shared" si="2"/>
        <v>0</v>
      </c>
      <c r="AS39" s="5">
        <f t="shared" si="2"/>
        <v>0</v>
      </c>
      <c r="AT39" s="5">
        <f t="shared" si="2"/>
        <v>0</v>
      </c>
      <c r="AU39" s="5">
        <f t="shared" si="2"/>
        <v>0</v>
      </c>
      <c r="AV39" s="5">
        <f t="shared" si="2"/>
        <v>0</v>
      </c>
      <c r="AW39" s="5">
        <f t="shared" si="2"/>
        <v>0</v>
      </c>
      <c r="AX39" s="5">
        <f t="shared" si="2"/>
        <v>0</v>
      </c>
      <c r="AY39" s="5">
        <f t="shared" si="2"/>
        <v>0</v>
      </c>
      <c r="BA39" s="46">
        <f>SUM(B39:AZ39)</f>
        <v>145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0.14"/>
    <col customWidth="1" min="3" max="26" width="10.86"/>
  </cols>
  <sheetData>
    <row r="1">
      <c r="A1" s="46" t="s">
        <v>141</v>
      </c>
      <c r="B1" s="46" t="s">
        <v>142</v>
      </c>
      <c r="C1" s="46" t="s">
        <v>143</v>
      </c>
      <c r="D1" s="46" t="s">
        <v>144</v>
      </c>
      <c r="E1" s="46" t="s">
        <v>145</v>
      </c>
      <c r="H1" s="5"/>
      <c r="I1" s="5"/>
      <c r="N1" s="5"/>
    </row>
    <row r="2">
      <c r="H2" s="5"/>
      <c r="I2" s="5"/>
      <c r="N2" s="5"/>
    </row>
    <row r="3">
      <c r="A3" s="52">
        <v>1.0</v>
      </c>
      <c r="B3" s="52" t="s">
        <v>112</v>
      </c>
      <c r="C3" s="52" t="s">
        <v>112</v>
      </c>
      <c r="D3" s="52" t="s">
        <v>112</v>
      </c>
      <c r="E3" s="52" t="s">
        <v>112</v>
      </c>
      <c r="G3" s="52"/>
      <c r="H3" s="5"/>
      <c r="I3" s="5"/>
      <c r="N3" s="5"/>
    </row>
    <row r="4">
      <c r="A4" s="52">
        <v>2.0</v>
      </c>
      <c r="B4" s="52" t="s">
        <v>146</v>
      </c>
      <c r="C4" s="52" t="s">
        <v>147</v>
      </c>
      <c r="D4" s="52" t="s">
        <v>112</v>
      </c>
      <c r="E4" s="52" t="s">
        <v>112</v>
      </c>
      <c r="G4" s="52"/>
      <c r="H4" s="5"/>
      <c r="I4" s="5"/>
      <c r="N4" s="5"/>
    </row>
    <row r="5">
      <c r="A5" s="52">
        <v>3.0</v>
      </c>
      <c r="B5" s="5" t="s">
        <v>148</v>
      </c>
      <c r="C5" s="5" t="s">
        <v>149</v>
      </c>
      <c r="D5" s="5" t="s">
        <v>150</v>
      </c>
      <c r="E5" s="5" t="s">
        <v>151</v>
      </c>
      <c r="G5" s="52"/>
      <c r="H5" s="5"/>
      <c r="I5" s="5"/>
      <c r="N5" s="5"/>
    </row>
    <row r="6">
      <c r="A6" s="52">
        <v>4.0</v>
      </c>
      <c r="B6" s="52" t="s">
        <v>152</v>
      </c>
      <c r="C6" s="52" t="s">
        <v>153</v>
      </c>
      <c r="D6" s="52" t="s">
        <v>112</v>
      </c>
      <c r="E6" s="52" t="s">
        <v>112</v>
      </c>
      <c r="G6" s="52"/>
      <c r="H6" s="5"/>
      <c r="I6" s="5"/>
      <c r="N6" s="5"/>
    </row>
    <row r="7">
      <c r="A7" s="52">
        <v>5.0</v>
      </c>
      <c r="B7" s="52" t="s">
        <v>154</v>
      </c>
      <c r="C7" s="52" t="s">
        <v>149</v>
      </c>
      <c r="D7" s="52" t="s">
        <v>155</v>
      </c>
      <c r="E7" s="52" t="s">
        <v>112</v>
      </c>
      <c r="G7" s="52"/>
      <c r="H7" s="5" t="s">
        <v>156</v>
      </c>
      <c r="I7" s="5"/>
      <c r="K7" s="46" t="s">
        <v>157</v>
      </c>
      <c r="M7" s="46" t="s">
        <v>140</v>
      </c>
      <c r="N7" s="5"/>
    </row>
    <row r="8">
      <c r="A8" s="52">
        <v>6.0</v>
      </c>
      <c r="B8" s="52" t="s">
        <v>158</v>
      </c>
      <c r="C8" s="52" t="s">
        <v>159</v>
      </c>
      <c r="D8" s="52" t="s">
        <v>160</v>
      </c>
      <c r="E8" s="52" t="s">
        <v>112</v>
      </c>
      <c r="G8" s="52"/>
      <c r="H8" s="5"/>
      <c r="I8" s="5"/>
      <c r="N8" s="5"/>
    </row>
    <row r="9">
      <c r="A9" s="52">
        <v>7.0</v>
      </c>
      <c r="B9" s="52" t="s">
        <v>161</v>
      </c>
      <c r="C9" s="52" t="s">
        <v>162</v>
      </c>
      <c r="D9" s="52" t="s">
        <v>163</v>
      </c>
      <c r="E9" s="52" t="s">
        <v>164</v>
      </c>
      <c r="G9" s="52"/>
      <c r="H9" s="5" t="s">
        <v>164</v>
      </c>
      <c r="I9" s="5">
        <v>3.0</v>
      </c>
      <c r="K9" s="5" t="s">
        <v>165</v>
      </c>
      <c r="L9" s="5">
        <v>3.0</v>
      </c>
      <c r="M9" s="5" t="s">
        <v>166</v>
      </c>
      <c r="N9" s="5">
        <v>5.0</v>
      </c>
    </row>
    <row r="10">
      <c r="A10" s="52">
        <v>8.0</v>
      </c>
      <c r="B10" s="52" t="s">
        <v>167</v>
      </c>
      <c r="C10" s="52" t="s">
        <v>168</v>
      </c>
      <c r="D10" s="52" t="s">
        <v>169</v>
      </c>
      <c r="E10" s="52" t="s">
        <v>155</v>
      </c>
      <c r="G10" s="52"/>
      <c r="H10" s="5" t="s">
        <v>155</v>
      </c>
      <c r="I10" s="5">
        <v>3.0</v>
      </c>
      <c r="K10" s="5" t="s">
        <v>170</v>
      </c>
      <c r="L10" s="5">
        <v>2.0</v>
      </c>
      <c r="M10" s="5" t="s">
        <v>165</v>
      </c>
      <c r="N10" s="5">
        <v>5.0</v>
      </c>
    </row>
    <row r="11">
      <c r="A11" s="52">
        <v>9.0</v>
      </c>
      <c r="B11" s="52" t="s">
        <v>171</v>
      </c>
      <c r="C11" s="52" t="s">
        <v>172</v>
      </c>
      <c r="D11" s="52" t="s">
        <v>166</v>
      </c>
      <c r="E11" s="52" t="s">
        <v>173</v>
      </c>
      <c r="G11" s="52"/>
      <c r="H11" s="5" t="s">
        <v>163</v>
      </c>
      <c r="I11" s="5">
        <v>3.0</v>
      </c>
      <c r="K11" s="5" t="s">
        <v>174</v>
      </c>
      <c r="L11" s="5">
        <v>2.0</v>
      </c>
      <c r="M11" s="5" t="s">
        <v>164</v>
      </c>
      <c r="N11" s="5">
        <v>4.0</v>
      </c>
    </row>
    <row r="12">
      <c r="A12" s="52">
        <v>10.0</v>
      </c>
      <c r="B12" s="52" t="s">
        <v>175</v>
      </c>
      <c r="C12" s="52" t="s">
        <v>147</v>
      </c>
      <c r="D12" s="52" t="s">
        <v>112</v>
      </c>
      <c r="E12" s="52" t="s">
        <v>112</v>
      </c>
      <c r="G12" s="52"/>
      <c r="H12" s="5" t="s">
        <v>176</v>
      </c>
      <c r="I12" s="5">
        <v>3.0</v>
      </c>
      <c r="K12" s="5" t="s">
        <v>160</v>
      </c>
      <c r="L12" s="5"/>
      <c r="M12" s="5" t="s">
        <v>155</v>
      </c>
      <c r="N12" s="5">
        <v>3.0</v>
      </c>
    </row>
    <row r="13">
      <c r="A13" s="52">
        <v>11.0</v>
      </c>
      <c r="B13" s="52" t="s">
        <v>177</v>
      </c>
      <c r="C13" s="52" t="s">
        <v>178</v>
      </c>
      <c r="D13" s="52" t="s">
        <v>179</v>
      </c>
      <c r="E13" s="52" t="s">
        <v>164</v>
      </c>
      <c r="F13" s="52"/>
      <c r="G13" s="52"/>
      <c r="H13" s="5" t="s">
        <v>166</v>
      </c>
      <c r="I13" s="5">
        <v>2.0</v>
      </c>
      <c r="K13" s="5" t="s">
        <v>164</v>
      </c>
      <c r="L13" s="5"/>
      <c r="M13" s="5" t="s">
        <v>174</v>
      </c>
      <c r="N13" s="5">
        <v>3.0</v>
      </c>
    </row>
    <row r="14">
      <c r="A14" s="52">
        <v>12.0</v>
      </c>
      <c r="B14" s="52" t="s">
        <v>180</v>
      </c>
      <c r="C14" s="52" t="s">
        <v>181</v>
      </c>
      <c r="D14" s="52" t="s">
        <v>176</v>
      </c>
      <c r="E14" s="52" t="s">
        <v>182</v>
      </c>
      <c r="G14" s="52"/>
      <c r="H14" s="5" t="s">
        <v>183</v>
      </c>
      <c r="I14" s="5">
        <v>2.0</v>
      </c>
      <c r="K14" s="5" t="s">
        <v>184</v>
      </c>
      <c r="L14" s="5"/>
      <c r="M14" s="5" t="s">
        <v>163</v>
      </c>
      <c r="N14" s="5">
        <v>3.0</v>
      </c>
    </row>
    <row r="15">
      <c r="A15" s="52">
        <v>13.0</v>
      </c>
      <c r="B15" s="52" t="s">
        <v>185</v>
      </c>
      <c r="C15" s="52" t="s">
        <v>186</v>
      </c>
      <c r="D15" s="52" t="s">
        <v>163</v>
      </c>
      <c r="E15" s="52" t="s">
        <v>164</v>
      </c>
      <c r="G15" s="52"/>
      <c r="H15" s="5" t="s">
        <v>165</v>
      </c>
      <c r="I15" s="5">
        <v>2.0</v>
      </c>
      <c r="K15" s="5" t="s">
        <v>182</v>
      </c>
      <c r="L15" s="5"/>
      <c r="M15" s="5" t="s">
        <v>176</v>
      </c>
      <c r="N15" s="5">
        <v>3.0</v>
      </c>
    </row>
    <row r="16">
      <c r="A16" s="52">
        <v>14.0</v>
      </c>
      <c r="B16" s="52" t="s">
        <v>187</v>
      </c>
      <c r="C16" s="52" t="s">
        <v>188</v>
      </c>
      <c r="D16" s="52" t="s">
        <v>112</v>
      </c>
      <c r="E16" s="52" t="s">
        <v>112</v>
      </c>
      <c r="G16" s="52"/>
      <c r="H16" s="5" t="s">
        <v>182</v>
      </c>
      <c r="I16" s="5">
        <v>2.0</v>
      </c>
      <c r="K16" s="5" t="s">
        <v>189</v>
      </c>
      <c r="L16" s="5"/>
      <c r="M16" s="5" t="s">
        <v>182</v>
      </c>
      <c r="N16" s="5">
        <v>3.0</v>
      </c>
    </row>
    <row r="17">
      <c r="A17" s="52">
        <v>15.0</v>
      </c>
      <c r="B17" s="52" t="s">
        <v>190</v>
      </c>
      <c r="C17" s="52" t="s">
        <v>191</v>
      </c>
      <c r="D17" s="52" t="s">
        <v>192</v>
      </c>
      <c r="E17" s="52" t="s">
        <v>166</v>
      </c>
      <c r="G17" s="52"/>
      <c r="H17" s="5" t="s">
        <v>150</v>
      </c>
      <c r="I17" s="5"/>
      <c r="K17" s="5" t="s">
        <v>193</v>
      </c>
      <c r="L17" s="5"/>
      <c r="M17" s="5" t="s">
        <v>194</v>
      </c>
      <c r="N17" s="5">
        <v>3.0</v>
      </c>
    </row>
    <row r="18">
      <c r="A18" s="52">
        <v>16.0</v>
      </c>
      <c r="B18" s="52" t="s">
        <v>195</v>
      </c>
      <c r="C18" s="52" t="s">
        <v>196</v>
      </c>
      <c r="D18" s="52" t="s">
        <v>197</v>
      </c>
      <c r="E18" s="52" t="s">
        <v>183</v>
      </c>
      <c r="G18" s="52"/>
      <c r="H18" s="5" t="s">
        <v>151</v>
      </c>
      <c r="I18" s="5"/>
      <c r="K18" s="5" t="s">
        <v>198</v>
      </c>
      <c r="L18" s="5"/>
      <c r="M18" s="5" t="s">
        <v>160</v>
      </c>
      <c r="N18" s="5">
        <v>2.0</v>
      </c>
    </row>
    <row r="19">
      <c r="A19" s="52">
        <v>17.0</v>
      </c>
      <c r="B19" s="52" t="s">
        <v>199</v>
      </c>
      <c r="C19" s="52" t="s">
        <v>200</v>
      </c>
      <c r="D19" s="52" t="s">
        <v>166</v>
      </c>
      <c r="E19" s="52"/>
      <c r="G19" s="52"/>
      <c r="H19" s="5" t="s">
        <v>160</v>
      </c>
      <c r="I19" s="5"/>
      <c r="K19" s="5" t="s">
        <v>189</v>
      </c>
      <c r="L19" s="5"/>
      <c r="M19" s="5" t="s">
        <v>189</v>
      </c>
      <c r="N19" s="5">
        <v>2.0</v>
      </c>
    </row>
    <row r="20">
      <c r="A20" s="52">
        <v>18.0</v>
      </c>
      <c r="B20" s="52" t="s">
        <v>112</v>
      </c>
      <c r="C20" s="52" t="s">
        <v>112</v>
      </c>
      <c r="D20" s="52" t="s">
        <v>112</v>
      </c>
      <c r="E20" s="52" t="s">
        <v>112</v>
      </c>
      <c r="G20" s="52"/>
      <c r="H20" s="5" t="s">
        <v>169</v>
      </c>
      <c r="I20" s="5"/>
      <c r="K20" s="5" t="s">
        <v>163</v>
      </c>
      <c r="L20" s="5"/>
      <c r="M20" s="5" t="s">
        <v>170</v>
      </c>
      <c r="N20" s="5">
        <v>2.0</v>
      </c>
    </row>
    <row r="21" ht="15.75" customHeight="1">
      <c r="A21" s="52">
        <v>19.0</v>
      </c>
      <c r="B21" s="52" t="s">
        <v>201</v>
      </c>
      <c r="C21" s="52" t="s">
        <v>202</v>
      </c>
      <c r="D21" s="52" t="s">
        <v>112</v>
      </c>
      <c r="E21" s="52" t="s">
        <v>112</v>
      </c>
      <c r="G21" s="52"/>
      <c r="H21" s="5" t="s">
        <v>179</v>
      </c>
      <c r="I21" s="5"/>
      <c r="K21" s="5" t="s">
        <v>166</v>
      </c>
      <c r="L21" s="5"/>
      <c r="M21" s="5" t="s">
        <v>184</v>
      </c>
      <c r="N21" s="5">
        <v>2.0</v>
      </c>
    </row>
    <row r="22" ht="15.75" customHeight="1">
      <c r="A22" s="52">
        <v>20.0</v>
      </c>
      <c r="B22" s="52" t="s">
        <v>112</v>
      </c>
      <c r="C22" s="52" t="s">
        <v>112</v>
      </c>
      <c r="D22" s="52" t="s">
        <v>112</v>
      </c>
      <c r="E22" s="52" t="s">
        <v>112</v>
      </c>
      <c r="G22" s="52"/>
      <c r="H22" s="5" t="s">
        <v>192</v>
      </c>
      <c r="I22" s="5"/>
      <c r="K22" s="5" t="s">
        <v>194</v>
      </c>
      <c r="L22" s="5"/>
      <c r="M22" s="5" t="s">
        <v>150</v>
      </c>
      <c r="N22" s="5">
        <v>1.0</v>
      </c>
    </row>
    <row r="23" ht="15.75" customHeight="1">
      <c r="A23" s="52">
        <v>21.0</v>
      </c>
      <c r="B23" s="52" t="s">
        <v>203</v>
      </c>
      <c r="C23" s="52" t="s">
        <v>204</v>
      </c>
      <c r="D23" s="52" t="s">
        <v>112</v>
      </c>
      <c r="E23" s="52" t="s">
        <v>112</v>
      </c>
      <c r="G23" s="52"/>
      <c r="H23" s="5" t="s">
        <v>197</v>
      </c>
      <c r="I23" s="5"/>
      <c r="K23" s="5"/>
      <c r="L23" s="5"/>
      <c r="M23" s="5" t="s">
        <v>151</v>
      </c>
      <c r="N23" s="5">
        <v>1.0</v>
      </c>
    </row>
    <row r="24" ht="15.75" customHeight="1">
      <c r="A24" s="52">
        <v>22.0</v>
      </c>
      <c r="B24" s="52" t="s">
        <v>205</v>
      </c>
      <c r="C24" s="52" t="s">
        <v>204</v>
      </c>
      <c r="D24" s="52" t="s">
        <v>112</v>
      </c>
      <c r="E24" s="52" t="s">
        <v>112</v>
      </c>
      <c r="G24" s="52"/>
      <c r="H24" s="5" t="s">
        <v>194</v>
      </c>
      <c r="I24" s="5"/>
      <c r="K24" s="5"/>
      <c r="L24" s="5"/>
      <c r="M24" s="5" t="s">
        <v>169</v>
      </c>
      <c r="N24" s="5">
        <v>1.0</v>
      </c>
    </row>
    <row r="25" ht="15.75" customHeight="1">
      <c r="A25" s="52">
        <v>23.0</v>
      </c>
      <c r="B25" s="52" t="s">
        <v>112</v>
      </c>
      <c r="C25" s="52" t="s">
        <v>112</v>
      </c>
      <c r="D25" s="52" t="s">
        <v>112</v>
      </c>
      <c r="E25" s="52" t="s">
        <v>112</v>
      </c>
      <c r="G25" s="52"/>
      <c r="H25" s="5" t="s">
        <v>184</v>
      </c>
      <c r="I25" s="5"/>
      <c r="K25" s="5"/>
      <c r="L25" s="5"/>
      <c r="M25" s="5" t="s">
        <v>179</v>
      </c>
      <c r="N25" s="5">
        <v>1.0</v>
      </c>
    </row>
    <row r="26" ht="15.75" customHeight="1">
      <c r="A26" s="52">
        <v>24.0</v>
      </c>
      <c r="B26" s="52" t="s">
        <v>206</v>
      </c>
      <c r="C26" s="52" t="s">
        <v>207</v>
      </c>
      <c r="D26" s="52" t="s">
        <v>155</v>
      </c>
      <c r="E26" s="52" t="s">
        <v>183</v>
      </c>
      <c r="G26" s="52"/>
      <c r="H26" s="5" t="s">
        <v>208</v>
      </c>
      <c r="I26" s="5"/>
      <c r="K26" s="5"/>
      <c r="L26" s="5"/>
      <c r="M26" s="5" t="s">
        <v>193</v>
      </c>
      <c r="N26" s="5">
        <v>1.0</v>
      </c>
    </row>
    <row r="27" ht="15.75" customHeight="1">
      <c r="A27" s="52">
        <v>25.0</v>
      </c>
      <c r="B27" s="52" t="s">
        <v>112</v>
      </c>
      <c r="C27" s="52" t="s">
        <v>112</v>
      </c>
      <c r="D27" s="52" t="s">
        <v>112</v>
      </c>
      <c r="E27" s="52" t="s">
        <v>112</v>
      </c>
      <c r="G27" s="52"/>
      <c r="H27" s="5"/>
      <c r="I27" s="5"/>
      <c r="K27" s="5"/>
      <c r="M27" s="5" t="s">
        <v>198</v>
      </c>
      <c r="N27" s="5">
        <v>1.0</v>
      </c>
    </row>
    <row r="28" ht="15.75" customHeight="1">
      <c r="A28" s="52">
        <v>26.0</v>
      </c>
      <c r="B28" s="52" t="s">
        <v>209</v>
      </c>
      <c r="C28" s="52" t="s">
        <v>210</v>
      </c>
      <c r="D28" s="52" t="s">
        <v>165</v>
      </c>
      <c r="E28" s="52" t="s">
        <v>176</v>
      </c>
      <c r="G28" s="52"/>
      <c r="H28" s="5"/>
      <c r="I28" s="5"/>
      <c r="K28" s="5"/>
      <c r="M28" s="5" t="s">
        <v>192</v>
      </c>
      <c r="N28" s="5">
        <v>1.0</v>
      </c>
    </row>
    <row r="29" ht="15.75" customHeight="1">
      <c r="A29" s="52">
        <v>27.0</v>
      </c>
      <c r="B29" s="52" t="s">
        <v>211</v>
      </c>
      <c r="C29" s="52" t="s">
        <v>212</v>
      </c>
      <c r="D29" s="71"/>
      <c r="E29" s="71"/>
      <c r="H29" s="5"/>
      <c r="I29" s="5"/>
      <c r="K29" s="5"/>
      <c r="M29" s="5" t="s">
        <v>197</v>
      </c>
      <c r="N29" s="5">
        <v>1.0</v>
      </c>
    </row>
    <row r="30" ht="15.75" customHeight="1">
      <c r="A30" s="52">
        <v>28.0</v>
      </c>
      <c r="B30" s="52" t="s">
        <v>213</v>
      </c>
      <c r="C30" s="52" t="s">
        <v>181</v>
      </c>
      <c r="D30" s="52" t="s">
        <v>163</v>
      </c>
      <c r="E30" s="71"/>
      <c r="H30" s="5"/>
      <c r="I30" s="5"/>
      <c r="K30" s="5"/>
      <c r="M30" s="5" t="s">
        <v>208</v>
      </c>
      <c r="N30" s="5">
        <v>1.0</v>
      </c>
    </row>
    <row r="31" ht="15.75" customHeight="1">
      <c r="A31" s="52">
        <v>29.0</v>
      </c>
      <c r="B31" s="52" t="s">
        <v>214</v>
      </c>
      <c r="C31" s="52" t="s">
        <v>215</v>
      </c>
      <c r="D31" s="52" t="s">
        <v>112</v>
      </c>
      <c r="E31" s="52" t="s">
        <v>112</v>
      </c>
      <c r="H31" s="5"/>
      <c r="I31" s="5"/>
      <c r="K31" s="5"/>
      <c r="M31" s="5"/>
      <c r="N31" s="5"/>
    </row>
    <row r="32" ht="15.75" customHeight="1">
      <c r="A32" s="52">
        <v>30.0</v>
      </c>
      <c r="B32" s="52" t="s">
        <v>216</v>
      </c>
      <c r="C32" s="52" t="s">
        <v>168</v>
      </c>
      <c r="D32" s="52" t="s">
        <v>184</v>
      </c>
      <c r="E32" s="52" t="s">
        <v>194</v>
      </c>
      <c r="H32" s="5"/>
      <c r="I32" s="5"/>
      <c r="K32" s="5"/>
      <c r="M32" s="5"/>
      <c r="N32" s="5"/>
    </row>
    <row r="33" ht="15.75" customHeight="1">
      <c r="A33" s="52">
        <v>31.0</v>
      </c>
      <c r="B33" s="52" t="s">
        <v>217</v>
      </c>
      <c r="C33" s="52" t="s">
        <v>218</v>
      </c>
      <c r="D33" s="52" t="s">
        <v>182</v>
      </c>
      <c r="E33" s="52" t="s">
        <v>208</v>
      </c>
      <c r="H33" s="5"/>
      <c r="I33" s="5"/>
      <c r="M33" s="5"/>
      <c r="N33" s="5"/>
    </row>
    <row r="34" ht="15.75" customHeight="1">
      <c r="A34" s="52">
        <v>32.0</v>
      </c>
      <c r="B34" s="52"/>
      <c r="C34" s="52"/>
      <c r="D34" s="52"/>
      <c r="E34" s="52"/>
      <c r="H34" s="5"/>
      <c r="I34" s="5"/>
      <c r="M34" s="5"/>
      <c r="N34" s="5"/>
    </row>
    <row r="35" ht="15.75" customHeight="1">
      <c r="A35" s="52">
        <v>33.0</v>
      </c>
      <c r="B35" s="52"/>
      <c r="C35" s="52"/>
      <c r="D35" s="52"/>
      <c r="E35" s="52"/>
      <c r="H35" s="5"/>
      <c r="I35" s="5"/>
      <c r="M35" s="5"/>
      <c r="N35" s="5"/>
    </row>
    <row r="36" ht="15.75" customHeight="1">
      <c r="A36" s="52">
        <v>34.0</v>
      </c>
      <c r="B36" s="52"/>
      <c r="C36" s="52"/>
      <c r="D36" s="52"/>
      <c r="E36" s="52"/>
      <c r="H36" s="5"/>
      <c r="I36" s="5"/>
      <c r="M36" s="5"/>
      <c r="N36" s="5"/>
    </row>
    <row r="37" ht="15.75" customHeight="1">
      <c r="A37" s="52">
        <v>35.0</v>
      </c>
      <c r="B37" s="52"/>
      <c r="C37" s="52"/>
      <c r="D37" s="52"/>
      <c r="E37" s="52"/>
      <c r="H37" s="5"/>
      <c r="I37" s="5"/>
      <c r="M37" s="5"/>
      <c r="N37" s="5"/>
    </row>
    <row r="38" ht="15.75" customHeight="1">
      <c r="A38" s="52">
        <v>36.0</v>
      </c>
      <c r="B38" s="52"/>
      <c r="C38" s="52"/>
      <c r="D38" s="52"/>
      <c r="E38" s="52"/>
      <c r="H38" s="5"/>
      <c r="I38" s="5"/>
      <c r="N38" s="5"/>
    </row>
    <row r="39" ht="15.75" customHeight="1">
      <c r="A39" s="52">
        <v>37.0</v>
      </c>
      <c r="B39" s="52"/>
      <c r="C39" s="52"/>
      <c r="D39" s="52"/>
      <c r="E39" s="52"/>
      <c r="H39" s="5"/>
      <c r="I39" s="5"/>
      <c r="N39" s="5"/>
    </row>
    <row r="40" ht="15.75" customHeight="1">
      <c r="A40" s="52">
        <v>38.0</v>
      </c>
      <c r="B40" s="52"/>
      <c r="C40" s="52"/>
      <c r="D40" s="52"/>
      <c r="E40" s="52"/>
      <c r="H40" s="5"/>
      <c r="I40" s="5"/>
      <c r="N40" s="5"/>
    </row>
    <row r="41" ht="15.75" customHeight="1">
      <c r="A41" s="52">
        <v>39.0</v>
      </c>
      <c r="B41" s="52"/>
      <c r="C41" s="52"/>
      <c r="D41" s="52"/>
      <c r="E41" s="52"/>
      <c r="H41" s="5"/>
      <c r="I41" s="5"/>
      <c r="N41" s="5"/>
    </row>
    <row r="42" ht="15.75" customHeight="1">
      <c r="A42" s="52">
        <v>40.0</v>
      </c>
      <c r="B42" s="52"/>
      <c r="C42" s="52"/>
      <c r="D42" s="52"/>
      <c r="E42" s="52"/>
      <c r="H42" s="5"/>
      <c r="I42" s="5"/>
      <c r="N42" s="5"/>
    </row>
    <row r="43" ht="15.75" customHeight="1">
      <c r="A43" s="52">
        <v>41.0</v>
      </c>
      <c r="B43" s="52"/>
      <c r="C43" s="52"/>
      <c r="D43" s="52"/>
      <c r="E43" s="52"/>
      <c r="H43" s="5"/>
      <c r="I43" s="5"/>
      <c r="N43" s="5"/>
    </row>
    <row r="44" ht="15.75" customHeight="1">
      <c r="A44" s="52">
        <v>42.0</v>
      </c>
      <c r="B44" s="52"/>
      <c r="C44" s="52"/>
      <c r="D44" s="52"/>
      <c r="E44" s="52"/>
      <c r="H44" s="5"/>
      <c r="I44" s="5"/>
      <c r="N44" s="5"/>
    </row>
    <row r="45" ht="15.75" customHeight="1">
      <c r="A45" s="52">
        <v>43.0</v>
      </c>
      <c r="B45" s="52"/>
      <c r="C45" s="52"/>
      <c r="D45" s="52"/>
      <c r="E45" s="52"/>
      <c r="H45" s="5"/>
      <c r="I45" s="5"/>
      <c r="N45" s="5"/>
    </row>
    <row r="46" ht="15.75" customHeight="1">
      <c r="A46" s="52">
        <v>44.0</v>
      </c>
      <c r="B46" s="52"/>
      <c r="C46" s="52"/>
      <c r="D46" s="52"/>
      <c r="E46" s="52"/>
      <c r="H46" s="5"/>
      <c r="I46" s="5"/>
      <c r="N46" s="5"/>
    </row>
    <row r="47" ht="15.75" customHeight="1">
      <c r="A47" s="52">
        <v>45.0</v>
      </c>
      <c r="B47" s="52"/>
      <c r="C47" s="52"/>
      <c r="D47" s="52"/>
      <c r="E47" s="52"/>
      <c r="H47" s="5"/>
      <c r="I47" s="5"/>
      <c r="N47" s="5"/>
    </row>
    <row r="48" ht="15.75" customHeight="1">
      <c r="A48" s="52">
        <v>46.0</v>
      </c>
      <c r="B48" s="52"/>
      <c r="C48" s="52"/>
      <c r="D48" s="52"/>
      <c r="E48" s="52"/>
      <c r="H48" s="5"/>
      <c r="I48" s="5"/>
      <c r="N48" s="5"/>
    </row>
    <row r="49" ht="15.75" customHeight="1">
      <c r="A49" s="52">
        <v>47.0</v>
      </c>
      <c r="B49" s="52"/>
      <c r="C49" s="52"/>
      <c r="D49" s="52"/>
      <c r="E49" s="52"/>
      <c r="H49" s="5"/>
      <c r="I49" s="5"/>
      <c r="N49" s="5"/>
    </row>
    <row r="50" ht="15.75" customHeight="1">
      <c r="A50" s="52">
        <v>48.0</v>
      </c>
      <c r="B50" s="52"/>
      <c r="C50" s="52"/>
      <c r="D50" s="52"/>
      <c r="E50" s="52"/>
      <c r="H50" s="5"/>
      <c r="I50" s="5"/>
      <c r="N50" s="5"/>
    </row>
    <row r="51" ht="15.75" customHeight="1">
      <c r="A51" s="6"/>
      <c r="H51" s="5"/>
      <c r="I51" s="5"/>
      <c r="N51" s="5"/>
    </row>
    <row r="52" ht="15.75" customHeight="1">
      <c r="A52" s="6"/>
      <c r="H52" s="5"/>
      <c r="I52" s="5"/>
      <c r="N52" s="5"/>
    </row>
    <row r="53" ht="15.75" customHeight="1">
      <c r="A53" s="6"/>
      <c r="H53" s="5"/>
      <c r="I53" s="5"/>
      <c r="N53" s="5"/>
    </row>
    <row r="54" ht="15.75" customHeight="1">
      <c r="A54" s="6"/>
      <c r="H54" s="5"/>
      <c r="I54" s="5"/>
      <c r="N54" s="5"/>
    </row>
    <row r="55" ht="15.75" customHeight="1">
      <c r="A55" s="6"/>
      <c r="H55" s="5"/>
      <c r="I55" s="5"/>
      <c r="N55" s="5"/>
    </row>
    <row r="56" ht="15.75" customHeight="1">
      <c r="A56" s="6"/>
      <c r="H56" s="5"/>
      <c r="I56" s="5"/>
      <c r="N56" s="5"/>
    </row>
    <row r="57" ht="15.75" customHeight="1">
      <c r="A57" s="6"/>
      <c r="H57" s="5"/>
      <c r="I57" s="5"/>
      <c r="N57" s="5"/>
    </row>
    <row r="58" ht="15.75" customHeight="1">
      <c r="A58" s="6"/>
      <c r="H58" s="5"/>
      <c r="I58" s="5"/>
      <c r="N58" s="5"/>
    </row>
    <row r="59" ht="15.75" customHeight="1">
      <c r="A59" s="6"/>
      <c r="H59" s="5"/>
      <c r="I59" s="5"/>
      <c r="N59" s="5"/>
    </row>
    <row r="60" ht="15.75" customHeight="1">
      <c r="H60" s="5"/>
      <c r="I60" s="5"/>
      <c r="N60" s="5"/>
    </row>
    <row r="61" ht="15.75" customHeight="1">
      <c r="H61" s="5"/>
      <c r="I61" s="5"/>
      <c r="N61" s="5"/>
    </row>
    <row r="62" ht="15.75" customHeight="1">
      <c r="H62" s="5"/>
      <c r="I62" s="5"/>
      <c r="N62" s="5"/>
    </row>
    <row r="63" ht="15.75" customHeight="1">
      <c r="H63" s="5"/>
      <c r="I63" s="5"/>
      <c r="N63" s="5"/>
    </row>
    <row r="64" ht="15.75" customHeight="1">
      <c r="H64" s="5"/>
      <c r="I64" s="5"/>
      <c r="N64" s="5"/>
    </row>
    <row r="65" ht="15.75" customHeight="1">
      <c r="H65" s="5"/>
      <c r="I65" s="5"/>
      <c r="N65" s="5"/>
    </row>
    <row r="66" ht="15.75" customHeight="1">
      <c r="H66" s="5"/>
      <c r="I66" s="5"/>
      <c r="N66" s="5"/>
    </row>
    <row r="67" ht="15.75" customHeight="1">
      <c r="H67" s="5"/>
      <c r="I67" s="5"/>
      <c r="N67" s="5"/>
    </row>
    <row r="68" ht="15.75" customHeight="1">
      <c r="H68" s="5"/>
      <c r="I68" s="5"/>
      <c r="N68" s="5"/>
    </row>
    <row r="69" ht="15.75" customHeight="1">
      <c r="H69" s="5"/>
      <c r="I69" s="5"/>
      <c r="N69" s="5"/>
    </row>
    <row r="70" ht="15.75" customHeight="1">
      <c r="H70" s="5"/>
      <c r="I70" s="5"/>
      <c r="N70" s="5"/>
    </row>
    <row r="71" ht="15.75" customHeight="1">
      <c r="H71" s="5"/>
      <c r="I71" s="5"/>
      <c r="N71" s="5"/>
    </row>
    <row r="72" ht="15.75" customHeight="1">
      <c r="H72" s="5"/>
      <c r="I72" s="5"/>
      <c r="N72" s="5"/>
    </row>
    <row r="73" ht="15.75" customHeight="1">
      <c r="H73" s="5"/>
      <c r="I73" s="5"/>
      <c r="N73" s="5"/>
    </row>
    <row r="74" ht="15.75" customHeight="1">
      <c r="H74" s="5"/>
      <c r="I74" s="5"/>
      <c r="N74" s="5"/>
    </row>
    <row r="75" ht="15.75" customHeight="1">
      <c r="H75" s="5"/>
      <c r="I75" s="5"/>
      <c r="N75" s="5"/>
    </row>
    <row r="76" ht="15.75" customHeight="1">
      <c r="H76" s="5"/>
      <c r="I76" s="5"/>
      <c r="N76" s="5"/>
    </row>
    <row r="77" ht="15.75" customHeight="1">
      <c r="H77" s="5"/>
      <c r="I77" s="5"/>
      <c r="N77" s="5"/>
    </row>
    <row r="78" ht="15.75" customHeight="1">
      <c r="H78" s="5"/>
      <c r="I78" s="5"/>
      <c r="N78" s="5"/>
    </row>
    <row r="79" ht="15.75" customHeight="1">
      <c r="H79" s="5"/>
      <c r="I79" s="5"/>
      <c r="N79" s="5"/>
    </row>
    <row r="80" ht="15.75" customHeight="1">
      <c r="H80" s="5"/>
      <c r="I80" s="5"/>
      <c r="N80" s="5"/>
    </row>
    <row r="81" ht="15.75" customHeight="1">
      <c r="H81" s="5"/>
      <c r="I81" s="5"/>
      <c r="N81" s="5"/>
    </row>
    <row r="82" ht="15.75" customHeight="1">
      <c r="H82" s="5"/>
      <c r="I82" s="5"/>
      <c r="N82" s="5"/>
    </row>
    <row r="83" ht="15.75" customHeight="1">
      <c r="H83" s="5"/>
      <c r="I83" s="5"/>
      <c r="N83" s="5"/>
    </row>
    <row r="84" ht="15.75" customHeight="1">
      <c r="H84" s="5"/>
      <c r="I84" s="5"/>
      <c r="N84" s="5"/>
    </row>
    <row r="85" ht="15.75" customHeight="1">
      <c r="H85" s="5"/>
      <c r="I85" s="5"/>
      <c r="N85" s="5"/>
    </row>
    <row r="86" ht="15.75" customHeight="1">
      <c r="H86" s="5"/>
      <c r="I86" s="5"/>
      <c r="N86" s="5"/>
    </row>
    <row r="87" ht="15.75" customHeight="1">
      <c r="H87" s="5"/>
      <c r="I87" s="5"/>
      <c r="N87" s="5"/>
    </row>
    <row r="88" ht="15.75" customHeight="1">
      <c r="H88" s="5"/>
      <c r="I88" s="5"/>
      <c r="N88" s="5"/>
    </row>
    <row r="89" ht="15.75" customHeight="1">
      <c r="H89" s="5"/>
      <c r="I89" s="5"/>
      <c r="N89" s="5"/>
    </row>
    <row r="90" ht="15.75" customHeight="1">
      <c r="H90" s="5"/>
      <c r="I90" s="5"/>
      <c r="N90" s="5"/>
    </row>
    <row r="91" ht="15.75" customHeight="1">
      <c r="H91" s="5"/>
      <c r="I91" s="5"/>
      <c r="N91" s="5"/>
    </row>
    <row r="92" ht="15.75" customHeight="1">
      <c r="H92" s="5"/>
      <c r="I92" s="5"/>
      <c r="N92" s="5"/>
    </row>
    <row r="93" ht="15.75" customHeight="1">
      <c r="H93" s="5"/>
      <c r="I93" s="5"/>
      <c r="N93" s="5"/>
    </row>
    <row r="94" ht="15.75" customHeight="1">
      <c r="H94" s="5"/>
      <c r="I94" s="5"/>
      <c r="N94" s="5"/>
    </row>
    <row r="95" ht="15.75" customHeight="1">
      <c r="H95" s="5"/>
      <c r="I95" s="5"/>
      <c r="N95" s="5"/>
    </row>
    <row r="96" ht="15.75" customHeight="1">
      <c r="H96" s="5"/>
      <c r="I96" s="5"/>
      <c r="N96" s="5"/>
    </row>
    <row r="97" ht="15.75" customHeight="1">
      <c r="H97" s="5"/>
      <c r="I97" s="5"/>
      <c r="N97" s="5"/>
    </row>
    <row r="98" ht="15.75" customHeight="1">
      <c r="H98" s="5"/>
      <c r="I98" s="5"/>
      <c r="N98" s="5"/>
    </row>
    <row r="99" ht="15.75" customHeight="1">
      <c r="H99" s="5"/>
      <c r="I99" s="5"/>
      <c r="N99" s="5"/>
    </row>
    <row r="100" ht="15.75" customHeight="1">
      <c r="H100" s="5"/>
      <c r="I100" s="5"/>
      <c r="N100" s="5"/>
    </row>
    <row r="101" ht="15.75" customHeight="1">
      <c r="H101" s="5"/>
      <c r="I101" s="5"/>
      <c r="N101" s="5"/>
    </row>
    <row r="102" ht="15.75" customHeight="1">
      <c r="H102" s="5"/>
      <c r="I102" s="5"/>
      <c r="N102" s="5"/>
    </row>
    <row r="103" ht="15.75" customHeight="1">
      <c r="H103" s="5"/>
      <c r="I103" s="5"/>
      <c r="N103" s="5"/>
    </row>
    <row r="104" ht="15.75" customHeight="1">
      <c r="H104" s="5"/>
      <c r="I104" s="5"/>
      <c r="N104" s="5"/>
    </row>
    <row r="105" ht="15.75" customHeight="1">
      <c r="H105" s="5"/>
      <c r="I105" s="5"/>
      <c r="N105" s="5"/>
    </row>
    <row r="106" ht="15.75" customHeight="1">
      <c r="H106" s="5"/>
      <c r="I106" s="5"/>
      <c r="N106" s="5"/>
    </row>
    <row r="107" ht="15.75" customHeight="1">
      <c r="H107" s="5"/>
      <c r="I107" s="5"/>
      <c r="N107" s="5"/>
    </row>
    <row r="108" ht="15.75" customHeight="1">
      <c r="H108" s="5"/>
      <c r="I108" s="5"/>
      <c r="N108" s="5"/>
    </row>
    <row r="109" ht="15.75" customHeight="1">
      <c r="H109" s="5"/>
      <c r="I109" s="5"/>
      <c r="N109" s="5"/>
    </row>
    <row r="110" ht="15.75" customHeight="1">
      <c r="H110" s="5"/>
      <c r="I110" s="5"/>
      <c r="N110" s="5"/>
    </row>
    <row r="111" ht="15.75" customHeight="1">
      <c r="H111" s="5"/>
      <c r="I111" s="5"/>
      <c r="N111" s="5"/>
    </row>
    <row r="112" ht="15.75" customHeight="1">
      <c r="H112" s="5"/>
      <c r="I112" s="5"/>
      <c r="N112" s="5"/>
    </row>
    <row r="113" ht="15.75" customHeight="1">
      <c r="H113" s="5"/>
      <c r="I113" s="5"/>
      <c r="N113" s="5"/>
    </row>
    <row r="114" ht="15.75" customHeight="1">
      <c r="H114" s="5"/>
      <c r="I114" s="5"/>
      <c r="N114" s="5"/>
    </row>
    <row r="115" ht="15.75" customHeight="1">
      <c r="H115" s="5"/>
      <c r="I115" s="5"/>
      <c r="N115" s="5"/>
    </row>
    <row r="116" ht="15.75" customHeight="1">
      <c r="H116" s="5"/>
      <c r="I116" s="5"/>
      <c r="N116" s="5"/>
    </row>
    <row r="117" ht="15.75" customHeight="1">
      <c r="H117" s="5"/>
      <c r="I117" s="5"/>
      <c r="N117" s="5"/>
    </row>
    <row r="118" ht="15.75" customHeight="1">
      <c r="H118" s="5"/>
      <c r="I118" s="5"/>
      <c r="N118" s="5"/>
    </row>
    <row r="119" ht="15.75" customHeight="1">
      <c r="H119" s="5"/>
      <c r="I119" s="5"/>
      <c r="N119" s="5"/>
    </row>
    <row r="120" ht="15.75" customHeight="1">
      <c r="H120" s="5"/>
      <c r="I120" s="5"/>
      <c r="N120" s="5"/>
    </row>
    <row r="121" ht="15.75" customHeight="1">
      <c r="H121" s="5"/>
      <c r="I121" s="5"/>
      <c r="N121" s="5"/>
    </row>
    <row r="122" ht="15.75" customHeight="1">
      <c r="H122" s="5"/>
      <c r="I122" s="5"/>
      <c r="N122" s="5"/>
    </row>
    <row r="123" ht="15.75" customHeight="1">
      <c r="H123" s="5"/>
      <c r="I123" s="5"/>
      <c r="N123" s="5"/>
    </row>
    <row r="124" ht="15.75" customHeight="1">
      <c r="H124" s="5"/>
      <c r="I124" s="5"/>
      <c r="N124" s="5"/>
    </row>
    <row r="125" ht="15.75" customHeight="1">
      <c r="H125" s="5"/>
      <c r="I125" s="5"/>
      <c r="N125" s="5"/>
    </row>
    <row r="126" ht="15.75" customHeight="1">
      <c r="H126" s="5"/>
      <c r="I126" s="5"/>
      <c r="N126" s="5"/>
    </row>
    <row r="127" ht="15.75" customHeight="1">
      <c r="H127" s="5"/>
      <c r="I127" s="5"/>
      <c r="N127" s="5"/>
    </row>
    <row r="128" ht="15.75" customHeight="1">
      <c r="H128" s="5"/>
      <c r="I128" s="5"/>
      <c r="N128" s="5"/>
    </row>
    <row r="129" ht="15.75" customHeight="1">
      <c r="H129" s="5"/>
      <c r="I129" s="5"/>
      <c r="N129" s="5"/>
    </row>
    <row r="130" ht="15.75" customHeight="1">
      <c r="H130" s="5"/>
      <c r="I130" s="5"/>
      <c r="N130" s="5"/>
    </row>
    <row r="131" ht="15.75" customHeight="1">
      <c r="H131" s="5"/>
      <c r="I131" s="5"/>
      <c r="N131" s="5"/>
    </row>
    <row r="132" ht="15.75" customHeight="1">
      <c r="H132" s="5"/>
      <c r="I132" s="5"/>
      <c r="N132" s="5"/>
    </row>
    <row r="133" ht="15.75" customHeight="1">
      <c r="H133" s="5"/>
      <c r="I133" s="5"/>
      <c r="N133" s="5"/>
    </row>
    <row r="134" ht="15.75" customHeight="1">
      <c r="H134" s="5"/>
      <c r="I134" s="5"/>
      <c r="N134" s="5"/>
    </row>
    <row r="135" ht="15.75" customHeight="1">
      <c r="H135" s="5"/>
      <c r="I135" s="5"/>
      <c r="N135" s="5"/>
    </row>
    <row r="136" ht="15.75" customHeight="1">
      <c r="H136" s="5"/>
      <c r="I136" s="5"/>
      <c r="N136" s="5"/>
    </row>
    <row r="137" ht="15.75" customHeight="1">
      <c r="H137" s="5"/>
      <c r="I137" s="5"/>
      <c r="N137" s="5"/>
    </row>
    <row r="138" ht="15.75" customHeight="1">
      <c r="H138" s="5"/>
      <c r="I138" s="5"/>
      <c r="N138" s="5"/>
    </row>
    <row r="139" ht="15.75" customHeight="1">
      <c r="H139" s="5"/>
      <c r="I139" s="5"/>
      <c r="N139" s="5"/>
    </row>
    <row r="140" ht="15.75" customHeight="1">
      <c r="H140" s="5"/>
      <c r="I140" s="5"/>
      <c r="N140" s="5"/>
    </row>
    <row r="141" ht="15.75" customHeight="1">
      <c r="H141" s="5"/>
      <c r="I141" s="5"/>
      <c r="N141" s="5"/>
    </row>
    <row r="142" ht="15.75" customHeight="1">
      <c r="H142" s="5"/>
      <c r="I142" s="5"/>
      <c r="N142" s="5"/>
    </row>
    <row r="143" ht="15.75" customHeight="1">
      <c r="H143" s="5"/>
      <c r="I143" s="5"/>
      <c r="N143" s="5"/>
    </row>
    <row r="144" ht="15.75" customHeight="1">
      <c r="H144" s="5"/>
      <c r="I144" s="5"/>
      <c r="N144" s="5"/>
    </row>
    <row r="145" ht="15.75" customHeight="1">
      <c r="H145" s="5"/>
      <c r="I145" s="5"/>
      <c r="N145" s="5"/>
    </row>
    <row r="146" ht="15.75" customHeight="1">
      <c r="H146" s="5"/>
      <c r="I146" s="5"/>
      <c r="N146" s="5"/>
    </row>
    <row r="147" ht="15.75" customHeight="1">
      <c r="H147" s="5"/>
      <c r="I147" s="5"/>
      <c r="N147" s="5"/>
    </row>
    <row r="148" ht="15.75" customHeight="1">
      <c r="H148" s="5"/>
      <c r="I148" s="5"/>
      <c r="N148" s="5"/>
    </row>
    <row r="149" ht="15.75" customHeight="1">
      <c r="H149" s="5"/>
      <c r="I149" s="5"/>
      <c r="N149" s="5"/>
    </row>
    <row r="150" ht="15.75" customHeight="1">
      <c r="H150" s="5"/>
      <c r="I150" s="5"/>
      <c r="N150" s="5"/>
    </row>
    <row r="151" ht="15.75" customHeight="1">
      <c r="H151" s="5"/>
      <c r="I151" s="5"/>
      <c r="N151" s="5"/>
    </row>
    <row r="152" ht="15.75" customHeight="1">
      <c r="H152" s="5"/>
      <c r="I152" s="5"/>
      <c r="N152" s="5"/>
    </row>
    <row r="153" ht="15.75" customHeight="1">
      <c r="H153" s="5"/>
      <c r="I153" s="5"/>
      <c r="N153" s="5"/>
    </row>
    <row r="154" ht="15.75" customHeight="1">
      <c r="H154" s="5"/>
      <c r="I154" s="5"/>
      <c r="N154" s="5"/>
    </row>
    <row r="155" ht="15.75" customHeight="1">
      <c r="H155" s="5"/>
      <c r="I155" s="5"/>
      <c r="N155" s="5"/>
    </row>
    <row r="156" ht="15.75" customHeight="1">
      <c r="H156" s="5"/>
      <c r="I156" s="5"/>
      <c r="N156" s="5"/>
    </row>
    <row r="157" ht="15.75" customHeight="1">
      <c r="H157" s="5"/>
      <c r="I157" s="5"/>
      <c r="N157" s="5"/>
    </row>
    <row r="158" ht="15.75" customHeight="1">
      <c r="H158" s="5"/>
      <c r="I158" s="5"/>
      <c r="N158" s="5"/>
    </row>
    <row r="159" ht="15.75" customHeight="1">
      <c r="H159" s="5"/>
      <c r="I159" s="5"/>
      <c r="N159" s="5"/>
    </row>
    <row r="160" ht="15.75" customHeight="1">
      <c r="H160" s="5"/>
      <c r="I160" s="5"/>
      <c r="N160" s="5"/>
    </row>
    <row r="161" ht="15.75" customHeight="1">
      <c r="H161" s="5"/>
      <c r="I161" s="5"/>
      <c r="N161" s="5"/>
    </row>
    <row r="162" ht="15.75" customHeight="1">
      <c r="H162" s="5"/>
      <c r="I162" s="5"/>
      <c r="N162" s="5"/>
    </row>
    <row r="163" ht="15.75" customHeight="1">
      <c r="H163" s="5"/>
      <c r="I163" s="5"/>
      <c r="N163" s="5"/>
    </row>
    <row r="164" ht="15.75" customHeight="1">
      <c r="H164" s="5"/>
      <c r="I164" s="5"/>
      <c r="N164" s="5"/>
    </row>
    <row r="165" ht="15.75" customHeight="1">
      <c r="H165" s="5"/>
      <c r="I165" s="5"/>
      <c r="N165" s="5"/>
    </row>
    <row r="166" ht="15.75" customHeight="1">
      <c r="H166" s="5"/>
      <c r="I166" s="5"/>
      <c r="N166" s="5"/>
    </row>
    <row r="167" ht="15.75" customHeight="1">
      <c r="H167" s="5"/>
      <c r="I167" s="5"/>
      <c r="N167" s="5"/>
    </row>
    <row r="168" ht="15.75" customHeight="1">
      <c r="H168" s="5"/>
      <c r="I168" s="5"/>
      <c r="N168" s="5"/>
    </row>
    <row r="169" ht="15.75" customHeight="1">
      <c r="H169" s="5"/>
      <c r="I169" s="5"/>
      <c r="N169" s="5"/>
    </row>
    <row r="170" ht="15.75" customHeight="1">
      <c r="H170" s="5"/>
      <c r="I170" s="5"/>
      <c r="N170" s="5"/>
    </row>
    <row r="171" ht="15.75" customHeight="1">
      <c r="H171" s="5"/>
      <c r="I171" s="5"/>
      <c r="N171" s="5"/>
    </row>
    <row r="172" ht="15.75" customHeight="1">
      <c r="H172" s="5"/>
      <c r="I172" s="5"/>
      <c r="N172" s="5"/>
    </row>
    <row r="173" ht="15.75" customHeight="1">
      <c r="H173" s="5"/>
      <c r="I173" s="5"/>
      <c r="N173" s="5"/>
    </row>
    <row r="174" ht="15.75" customHeight="1">
      <c r="H174" s="5"/>
      <c r="I174" s="5"/>
      <c r="N174" s="5"/>
    </row>
    <row r="175" ht="15.75" customHeight="1">
      <c r="H175" s="5"/>
      <c r="I175" s="5"/>
      <c r="N175" s="5"/>
    </row>
    <row r="176" ht="15.75" customHeight="1">
      <c r="H176" s="5"/>
      <c r="I176" s="5"/>
      <c r="N176" s="5"/>
    </row>
    <row r="177" ht="15.75" customHeight="1">
      <c r="H177" s="5"/>
      <c r="I177" s="5"/>
      <c r="N177" s="5"/>
    </row>
    <row r="178" ht="15.75" customHeight="1">
      <c r="H178" s="5"/>
      <c r="I178" s="5"/>
      <c r="N178" s="5"/>
    </row>
    <row r="179" ht="15.75" customHeight="1">
      <c r="H179" s="5"/>
      <c r="I179" s="5"/>
      <c r="N179" s="5"/>
    </row>
    <row r="180" ht="15.75" customHeight="1">
      <c r="H180" s="5"/>
      <c r="I180" s="5"/>
      <c r="N180" s="5"/>
    </row>
    <row r="181" ht="15.75" customHeight="1">
      <c r="H181" s="5"/>
      <c r="I181" s="5"/>
      <c r="N181" s="5"/>
    </row>
    <row r="182" ht="15.75" customHeight="1">
      <c r="H182" s="5"/>
      <c r="I182" s="5"/>
      <c r="N182" s="5"/>
    </row>
    <row r="183" ht="15.75" customHeight="1">
      <c r="H183" s="5"/>
      <c r="I183" s="5"/>
      <c r="N183" s="5"/>
    </row>
    <row r="184" ht="15.75" customHeight="1">
      <c r="H184" s="5"/>
      <c r="I184" s="5"/>
      <c r="N184" s="5"/>
    </row>
    <row r="185" ht="15.75" customHeight="1">
      <c r="H185" s="5"/>
      <c r="I185" s="5"/>
      <c r="N185" s="5"/>
    </row>
    <row r="186" ht="15.75" customHeight="1">
      <c r="H186" s="5"/>
      <c r="I186" s="5"/>
      <c r="N186" s="5"/>
    </row>
    <row r="187" ht="15.75" customHeight="1">
      <c r="H187" s="5"/>
      <c r="I187" s="5"/>
      <c r="N187" s="5"/>
    </row>
    <row r="188" ht="15.75" customHeight="1">
      <c r="H188" s="5"/>
      <c r="I188" s="5"/>
      <c r="N188" s="5"/>
    </row>
    <row r="189" ht="15.75" customHeight="1">
      <c r="H189" s="5"/>
      <c r="I189" s="5"/>
      <c r="N189" s="5"/>
    </row>
    <row r="190" ht="15.75" customHeight="1">
      <c r="H190" s="5"/>
      <c r="I190" s="5"/>
      <c r="N190" s="5"/>
    </row>
    <row r="191" ht="15.75" customHeight="1">
      <c r="H191" s="5"/>
      <c r="I191" s="5"/>
      <c r="N191" s="5"/>
    </row>
    <row r="192" ht="15.75" customHeight="1">
      <c r="H192" s="5"/>
      <c r="I192" s="5"/>
      <c r="N192" s="5"/>
    </row>
    <row r="193" ht="15.75" customHeight="1">
      <c r="H193" s="5"/>
      <c r="I193" s="5"/>
      <c r="N193" s="5"/>
    </row>
    <row r="194" ht="15.75" customHeight="1">
      <c r="H194" s="5"/>
      <c r="I194" s="5"/>
      <c r="N194" s="5"/>
    </row>
    <row r="195" ht="15.75" customHeight="1">
      <c r="H195" s="5"/>
      <c r="I195" s="5"/>
      <c r="N195" s="5"/>
    </row>
    <row r="196" ht="15.75" customHeight="1">
      <c r="H196" s="5"/>
      <c r="I196" s="5"/>
      <c r="N196" s="5"/>
    </row>
    <row r="197" ht="15.75" customHeight="1">
      <c r="H197" s="5"/>
      <c r="I197" s="5"/>
      <c r="N197" s="5"/>
    </row>
    <row r="198" ht="15.75" customHeight="1">
      <c r="H198" s="5"/>
      <c r="I198" s="5"/>
      <c r="N198" s="5"/>
    </row>
    <row r="199" ht="15.75" customHeight="1">
      <c r="H199" s="5"/>
      <c r="I199" s="5"/>
      <c r="N199" s="5"/>
    </row>
    <row r="200" ht="15.75" customHeight="1">
      <c r="H200" s="5"/>
      <c r="I200" s="5"/>
      <c r="N200" s="5"/>
    </row>
    <row r="201" ht="15.75" customHeight="1">
      <c r="H201" s="5"/>
      <c r="I201" s="5"/>
      <c r="N201" s="5"/>
    </row>
    <row r="202" ht="15.75" customHeight="1">
      <c r="H202" s="5"/>
      <c r="I202" s="5"/>
      <c r="N202" s="5"/>
    </row>
    <row r="203" ht="15.75" customHeight="1">
      <c r="H203" s="5"/>
      <c r="I203" s="5"/>
      <c r="N203" s="5"/>
    </row>
    <row r="204" ht="15.75" customHeight="1">
      <c r="H204" s="5"/>
      <c r="I204" s="5"/>
      <c r="N204" s="5"/>
    </row>
    <row r="205" ht="15.75" customHeight="1">
      <c r="H205" s="5"/>
      <c r="I205" s="5"/>
      <c r="N205" s="5"/>
    </row>
    <row r="206" ht="15.75" customHeight="1">
      <c r="H206" s="5"/>
      <c r="I206" s="5"/>
      <c r="N206" s="5"/>
    </row>
    <row r="207" ht="15.75" customHeight="1">
      <c r="H207" s="5"/>
      <c r="I207" s="5"/>
      <c r="N207" s="5"/>
    </row>
    <row r="208" ht="15.75" customHeight="1">
      <c r="H208" s="5"/>
      <c r="I208" s="5"/>
      <c r="N208" s="5"/>
    </row>
    <row r="209" ht="15.75" customHeight="1">
      <c r="H209" s="5"/>
      <c r="I209" s="5"/>
      <c r="N209" s="5"/>
    </row>
    <row r="210" ht="15.75" customHeight="1">
      <c r="H210" s="5"/>
      <c r="I210" s="5"/>
      <c r="N210" s="5"/>
    </row>
    <row r="211" ht="15.75" customHeight="1">
      <c r="H211" s="5"/>
      <c r="I211" s="5"/>
      <c r="N211" s="5"/>
    </row>
    <row r="212" ht="15.75" customHeight="1">
      <c r="H212" s="5"/>
      <c r="I212" s="5"/>
      <c r="N212" s="5"/>
    </row>
    <row r="213" ht="15.75" customHeight="1">
      <c r="H213" s="5"/>
      <c r="I213" s="5"/>
      <c r="N213" s="5"/>
    </row>
    <row r="214" ht="15.75" customHeight="1">
      <c r="H214" s="5"/>
      <c r="I214" s="5"/>
      <c r="N214" s="5"/>
    </row>
    <row r="215" ht="15.75" customHeight="1">
      <c r="H215" s="5"/>
      <c r="I215" s="5"/>
      <c r="N215" s="5"/>
    </row>
    <row r="216" ht="15.75" customHeight="1">
      <c r="H216" s="5"/>
      <c r="I216" s="5"/>
      <c r="N216" s="5"/>
    </row>
    <row r="217" ht="15.75" customHeight="1">
      <c r="H217" s="5"/>
      <c r="I217" s="5"/>
      <c r="N217" s="5"/>
    </row>
    <row r="218" ht="15.75" customHeight="1">
      <c r="H218" s="5"/>
      <c r="I218" s="5"/>
      <c r="N218" s="5"/>
    </row>
    <row r="219" ht="15.75" customHeight="1">
      <c r="H219" s="5"/>
      <c r="I219" s="5"/>
      <c r="N219" s="5"/>
    </row>
    <row r="220" ht="15.75" customHeight="1">
      <c r="H220" s="5"/>
      <c r="I220" s="5"/>
      <c r="N220" s="5"/>
    </row>
    <row r="221" ht="15.75" customHeight="1">
      <c r="H221" s="5"/>
      <c r="I221" s="5"/>
      <c r="N221" s="5"/>
    </row>
    <row r="222" ht="15.75" customHeight="1">
      <c r="H222" s="5"/>
      <c r="I222" s="5"/>
      <c r="N222" s="5"/>
    </row>
    <row r="223" ht="15.75" customHeight="1">
      <c r="H223" s="5"/>
      <c r="I223" s="5"/>
      <c r="N223" s="5"/>
    </row>
    <row r="224" ht="15.75" customHeight="1">
      <c r="H224" s="5"/>
      <c r="I224" s="5"/>
      <c r="N224" s="5"/>
    </row>
    <row r="225" ht="15.75" customHeight="1">
      <c r="H225" s="5"/>
      <c r="I225" s="5"/>
      <c r="N225" s="5"/>
    </row>
    <row r="226" ht="15.75" customHeight="1">
      <c r="H226" s="5"/>
      <c r="I226" s="5"/>
      <c r="N226" s="5"/>
    </row>
    <row r="227" ht="15.75" customHeight="1">
      <c r="H227" s="5"/>
      <c r="I227" s="5"/>
      <c r="N227" s="5"/>
    </row>
    <row r="228" ht="15.75" customHeight="1">
      <c r="H228" s="5"/>
      <c r="I228" s="5"/>
      <c r="N228" s="5"/>
    </row>
    <row r="229" ht="15.75" customHeight="1">
      <c r="H229" s="5"/>
      <c r="I229" s="5"/>
      <c r="N229" s="5"/>
    </row>
    <row r="230" ht="15.75" customHeight="1">
      <c r="H230" s="5"/>
      <c r="I230" s="5"/>
      <c r="N230" s="5"/>
    </row>
    <row r="231" ht="15.75" customHeight="1">
      <c r="H231" s="5"/>
      <c r="I231" s="5"/>
      <c r="N231" s="5"/>
    </row>
    <row r="232" ht="15.75" customHeight="1">
      <c r="H232" s="5"/>
      <c r="I232" s="5"/>
      <c r="N232" s="5"/>
    </row>
    <row r="233" ht="15.75" customHeight="1">
      <c r="H233" s="5"/>
      <c r="I233" s="5"/>
      <c r="N233" s="5"/>
    </row>
    <row r="234" ht="15.75" customHeight="1">
      <c r="H234" s="5"/>
      <c r="I234" s="5"/>
      <c r="N234" s="5"/>
    </row>
    <row r="235" ht="15.75" customHeight="1">
      <c r="H235" s="5"/>
      <c r="I235" s="5"/>
      <c r="N235" s="5"/>
    </row>
    <row r="236" ht="15.75" customHeight="1">
      <c r="H236" s="5"/>
      <c r="I236" s="5"/>
      <c r="N236" s="5"/>
    </row>
    <row r="237" ht="15.75" customHeight="1">
      <c r="H237" s="5"/>
      <c r="I237" s="5"/>
      <c r="N237" s="5"/>
    </row>
    <row r="238" ht="15.75" customHeight="1">
      <c r="H238" s="5"/>
      <c r="I238" s="5"/>
      <c r="N238" s="5"/>
    </row>
    <row r="239" ht="15.75" customHeight="1">
      <c r="H239" s="5"/>
      <c r="I239" s="5"/>
      <c r="N239" s="5"/>
    </row>
    <row r="240" ht="15.75" customHeight="1">
      <c r="H240" s="5"/>
      <c r="I240" s="5"/>
      <c r="N240" s="5"/>
    </row>
    <row r="241" ht="15.75" customHeight="1">
      <c r="H241" s="5"/>
      <c r="I241" s="5"/>
      <c r="N241" s="5"/>
    </row>
    <row r="242" ht="15.75" customHeight="1">
      <c r="H242" s="5"/>
      <c r="I242" s="5"/>
      <c r="N242" s="5"/>
    </row>
    <row r="243" ht="15.75" customHeight="1">
      <c r="H243" s="5"/>
      <c r="I243" s="5"/>
      <c r="N243" s="5"/>
    </row>
    <row r="244" ht="15.75" customHeight="1">
      <c r="H244" s="5"/>
      <c r="I244" s="5"/>
      <c r="N244" s="5"/>
    </row>
    <row r="245" ht="15.75" customHeight="1">
      <c r="H245" s="5"/>
      <c r="I245" s="5"/>
      <c r="N245" s="5"/>
    </row>
    <row r="246" ht="15.75" customHeight="1">
      <c r="H246" s="5"/>
      <c r="I246" s="5"/>
      <c r="N246" s="5"/>
    </row>
    <row r="247" ht="15.75" customHeight="1">
      <c r="H247" s="5"/>
      <c r="I247" s="5"/>
      <c r="N247" s="5"/>
    </row>
    <row r="248" ht="15.75" customHeight="1">
      <c r="H248" s="5"/>
      <c r="I248" s="5"/>
      <c r="N248" s="5"/>
    </row>
    <row r="249" ht="15.75" customHeight="1">
      <c r="H249" s="5"/>
      <c r="I249" s="5"/>
      <c r="N249" s="5"/>
    </row>
    <row r="250" ht="15.75" customHeight="1">
      <c r="H250" s="5"/>
      <c r="I250" s="5"/>
      <c r="N250" s="5"/>
    </row>
    <row r="251" ht="15.75" customHeight="1">
      <c r="H251" s="5"/>
      <c r="I251" s="5"/>
      <c r="N251" s="5"/>
    </row>
    <row r="252" ht="15.75" customHeight="1">
      <c r="H252" s="5"/>
      <c r="I252" s="5"/>
      <c r="N252" s="5"/>
    </row>
    <row r="253" ht="15.75" customHeight="1">
      <c r="H253" s="5"/>
      <c r="I253" s="5"/>
      <c r="N253" s="5"/>
    </row>
    <row r="254" ht="15.75" customHeight="1">
      <c r="H254" s="5"/>
      <c r="I254" s="5"/>
      <c r="N254" s="5"/>
    </row>
    <row r="255" ht="15.75" customHeight="1">
      <c r="H255" s="5"/>
      <c r="I255" s="5"/>
      <c r="N255" s="5"/>
    </row>
    <row r="256" ht="15.75" customHeight="1">
      <c r="H256" s="5"/>
      <c r="I256" s="5"/>
      <c r="N256" s="5"/>
    </row>
    <row r="257" ht="15.75" customHeight="1">
      <c r="H257" s="5"/>
      <c r="I257" s="5"/>
      <c r="N257" s="5"/>
    </row>
    <row r="258" ht="15.75" customHeight="1">
      <c r="H258" s="5"/>
      <c r="I258" s="5"/>
      <c r="N258" s="5"/>
    </row>
    <row r="259" ht="15.75" customHeight="1">
      <c r="H259" s="5"/>
      <c r="I259" s="5"/>
      <c r="N259" s="5"/>
    </row>
    <row r="260" ht="15.75" customHeight="1">
      <c r="H260" s="5"/>
      <c r="I260" s="5"/>
      <c r="N260" s="5"/>
    </row>
    <row r="261" ht="15.75" customHeight="1">
      <c r="H261" s="5"/>
      <c r="I261" s="5"/>
      <c r="N261" s="5"/>
    </row>
    <row r="262" ht="15.75" customHeight="1">
      <c r="H262" s="5"/>
      <c r="I262" s="5"/>
      <c r="N262" s="5"/>
    </row>
    <row r="263" ht="15.75" customHeight="1">
      <c r="H263" s="5"/>
      <c r="I263" s="5"/>
      <c r="N263" s="5"/>
    </row>
    <row r="264" ht="15.75" customHeight="1">
      <c r="H264" s="5"/>
      <c r="I264" s="5"/>
      <c r="N264" s="5"/>
    </row>
    <row r="265" ht="15.75" customHeight="1">
      <c r="H265" s="5"/>
      <c r="I265" s="5"/>
      <c r="N265" s="5"/>
    </row>
    <row r="266" ht="15.75" customHeight="1">
      <c r="H266" s="5"/>
      <c r="I266" s="5"/>
      <c r="N266" s="5"/>
    </row>
    <row r="267" ht="15.75" customHeight="1">
      <c r="H267" s="5"/>
      <c r="I267" s="5"/>
      <c r="N267" s="5"/>
    </row>
    <row r="268" ht="15.75" customHeight="1">
      <c r="H268" s="5"/>
      <c r="I268" s="5"/>
      <c r="N268" s="5"/>
    </row>
    <row r="269" ht="15.75" customHeight="1">
      <c r="H269" s="5"/>
      <c r="I269" s="5"/>
      <c r="N269" s="5"/>
    </row>
    <row r="270" ht="15.75" customHeight="1">
      <c r="H270" s="5"/>
      <c r="I270" s="5"/>
      <c r="N270" s="5"/>
    </row>
    <row r="271" ht="15.75" customHeight="1">
      <c r="H271" s="5"/>
      <c r="I271" s="5"/>
      <c r="N271" s="5"/>
    </row>
    <row r="272" ht="15.75" customHeight="1">
      <c r="H272" s="5"/>
      <c r="I272" s="5"/>
      <c r="N272" s="5"/>
    </row>
    <row r="273" ht="15.75" customHeight="1">
      <c r="H273" s="5"/>
      <c r="I273" s="5"/>
      <c r="N273" s="5"/>
    </row>
    <row r="274" ht="15.75" customHeight="1">
      <c r="H274" s="5"/>
      <c r="I274" s="5"/>
      <c r="N274" s="5"/>
    </row>
    <row r="275" ht="15.75" customHeight="1">
      <c r="H275" s="5"/>
      <c r="I275" s="5"/>
      <c r="N275" s="5"/>
    </row>
    <row r="276" ht="15.75" customHeight="1">
      <c r="H276" s="5"/>
      <c r="I276" s="5"/>
      <c r="N276" s="5"/>
    </row>
    <row r="277" ht="15.75" customHeight="1">
      <c r="H277" s="5"/>
      <c r="I277" s="5"/>
      <c r="N277" s="5"/>
    </row>
    <row r="278" ht="15.75" customHeight="1">
      <c r="H278" s="5"/>
      <c r="I278" s="5"/>
      <c r="N278" s="5"/>
    </row>
    <row r="279" ht="15.75" customHeight="1">
      <c r="H279" s="5"/>
      <c r="I279" s="5"/>
      <c r="N279" s="5"/>
    </row>
    <row r="280" ht="15.75" customHeight="1">
      <c r="H280" s="5"/>
      <c r="I280" s="5"/>
      <c r="N280" s="5"/>
    </row>
    <row r="281" ht="15.75" customHeight="1">
      <c r="H281" s="5"/>
      <c r="I281" s="5"/>
      <c r="N281" s="5"/>
    </row>
    <row r="282" ht="15.75" customHeight="1">
      <c r="H282" s="5"/>
      <c r="I282" s="5"/>
      <c r="N282" s="5"/>
    </row>
    <row r="283" ht="15.75" customHeight="1">
      <c r="H283" s="5"/>
      <c r="I283" s="5"/>
      <c r="N283" s="5"/>
    </row>
    <row r="284" ht="15.75" customHeight="1">
      <c r="H284" s="5"/>
      <c r="I284" s="5"/>
      <c r="N284" s="5"/>
    </row>
    <row r="285" ht="15.75" customHeight="1">
      <c r="H285" s="5"/>
      <c r="I285" s="5"/>
      <c r="N285" s="5"/>
    </row>
    <row r="286" ht="15.75" customHeight="1">
      <c r="H286" s="5"/>
      <c r="I286" s="5"/>
      <c r="N286" s="5"/>
    </row>
    <row r="287" ht="15.75" customHeight="1">
      <c r="H287" s="5"/>
      <c r="I287" s="5"/>
      <c r="N287" s="5"/>
    </row>
    <row r="288" ht="15.75" customHeight="1">
      <c r="H288" s="5"/>
      <c r="I288" s="5"/>
      <c r="N288" s="5"/>
    </row>
    <row r="289" ht="15.75" customHeight="1">
      <c r="H289" s="5"/>
      <c r="I289" s="5"/>
      <c r="N289" s="5"/>
    </row>
    <row r="290" ht="15.75" customHeight="1">
      <c r="H290" s="5"/>
      <c r="I290" s="5"/>
      <c r="N290" s="5"/>
    </row>
    <row r="291" ht="15.75" customHeight="1">
      <c r="H291" s="5"/>
      <c r="I291" s="5"/>
      <c r="N291" s="5"/>
    </row>
    <row r="292" ht="15.75" customHeight="1">
      <c r="H292" s="5"/>
      <c r="I292" s="5"/>
      <c r="N292" s="5"/>
    </row>
    <row r="293" ht="15.75" customHeight="1">
      <c r="H293" s="5"/>
      <c r="I293" s="5"/>
      <c r="N293" s="5"/>
    </row>
    <row r="294" ht="15.75" customHeight="1">
      <c r="H294" s="5"/>
      <c r="I294" s="5"/>
      <c r="N294" s="5"/>
    </row>
    <row r="295" ht="15.75" customHeight="1">
      <c r="H295" s="5"/>
      <c r="I295" s="5"/>
      <c r="N295" s="5"/>
    </row>
    <row r="296" ht="15.75" customHeight="1">
      <c r="H296" s="5"/>
      <c r="I296" s="5"/>
      <c r="N296" s="5"/>
    </row>
    <row r="297" ht="15.75" customHeight="1">
      <c r="H297" s="5"/>
      <c r="I297" s="5"/>
      <c r="N297" s="5"/>
    </row>
    <row r="298" ht="15.75" customHeight="1">
      <c r="H298" s="5"/>
      <c r="I298" s="5"/>
      <c r="N298" s="5"/>
    </row>
    <row r="299" ht="15.75" customHeight="1">
      <c r="H299" s="5"/>
      <c r="I299" s="5"/>
      <c r="N299" s="5"/>
    </row>
    <row r="300" ht="15.75" customHeight="1">
      <c r="H300" s="5"/>
      <c r="I300" s="5"/>
      <c r="N300" s="5"/>
    </row>
    <row r="301" ht="15.75" customHeight="1">
      <c r="H301" s="5"/>
      <c r="I301" s="5"/>
      <c r="N301" s="5"/>
    </row>
    <row r="302" ht="15.75" customHeight="1">
      <c r="H302" s="5"/>
      <c r="I302" s="5"/>
      <c r="N302" s="5"/>
    </row>
    <row r="303" ht="15.75" customHeight="1">
      <c r="H303" s="5"/>
      <c r="I303" s="5"/>
      <c r="N303" s="5"/>
    </row>
    <row r="304" ht="15.75" customHeight="1">
      <c r="H304" s="5"/>
      <c r="I304" s="5"/>
      <c r="N304" s="5"/>
    </row>
    <row r="305" ht="15.75" customHeight="1">
      <c r="H305" s="5"/>
      <c r="I305" s="5"/>
      <c r="N305" s="5"/>
    </row>
    <row r="306" ht="15.75" customHeight="1">
      <c r="H306" s="5"/>
      <c r="I306" s="5"/>
      <c r="N306" s="5"/>
    </row>
    <row r="307" ht="15.75" customHeight="1">
      <c r="H307" s="5"/>
      <c r="I307" s="5"/>
      <c r="N307" s="5"/>
    </row>
    <row r="308" ht="15.75" customHeight="1">
      <c r="H308" s="5"/>
      <c r="I308" s="5"/>
      <c r="N308" s="5"/>
    </row>
    <row r="309" ht="15.75" customHeight="1">
      <c r="H309" s="5"/>
      <c r="I309" s="5"/>
      <c r="N309" s="5"/>
    </row>
    <row r="310" ht="15.75" customHeight="1">
      <c r="H310" s="5"/>
      <c r="I310" s="5"/>
      <c r="N310" s="5"/>
    </row>
    <row r="311" ht="15.75" customHeight="1">
      <c r="H311" s="5"/>
      <c r="I311" s="5"/>
      <c r="N311" s="5"/>
    </row>
    <row r="312" ht="15.75" customHeight="1">
      <c r="H312" s="5"/>
      <c r="I312" s="5"/>
      <c r="N312" s="5"/>
    </row>
    <row r="313" ht="15.75" customHeight="1">
      <c r="H313" s="5"/>
      <c r="I313" s="5"/>
      <c r="N313" s="5"/>
    </row>
    <row r="314" ht="15.75" customHeight="1">
      <c r="H314" s="5"/>
      <c r="I314" s="5"/>
      <c r="N314" s="5"/>
    </row>
    <row r="315" ht="15.75" customHeight="1">
      <c r="H315" s="5"/>
      <c r="I315" s="5"/>
      <c r="N315" s="5"/>
    </row>
    <row r="316" ht="15.75" customHeight="1">
      <c r="H316" s="5"/>
      <c r="I316" s="5"/>
      <c r="N316" s="5"/>
    </row>
    <row r="317" ht="15.75" customHeight="1">
      <c r="H317" s="5"/>
      <c r="I317" s="5"/>
      <c r="N317" s="5"/>
    </row>
    <row r="318" ht="15.75" customHeight="1">
      <c r="H318" s="5"/>
      <c r="I318" s="5"/>
      <c r="N318" s="5"/>
    </row>
    <row r="319" ht="15.75" customHeight="1">
      <c r="H319" s="5"/>
      <c r="I319" s="5"/>
      <c r="N319" s="5"/>
    </row>
    <row r="320" ht="15.75" customHeight="1">
      <c r="H320" s="5"/>
      <c r="I320" s="5"/>
      <c r="N320" s="5"/>
    </row>
    <row r="321" ht="15.75" customHeight="1">
      <c r="H321" s="5"/>
      <c r="I321" s="5"/>
      <c r="N321" s="5"/>
    </row>
    <row r="322" ht="15.75" customHeight="1">
      <c r="H322" s="5"/>
      <c r="I322" s="5"/>
      <c r="N322" s="5"/>
    </row>
    <row r="323" ht="15.75" customHeight="1">
      <c r="H323" s="5"/>
      <c r="I323" s="5"/>
      <c r="N323" s="5"/>
    </row>
    <row r="324" ht="15.75" customHeight="1">
      <c r="H324" s="5"/>
      <c r="I324" s="5"/>
      <c r="N324" s="5"/>
    </row>
    <row r="325" ht="15.75" customHeight="1">
      <c r="H325" s="5"/>
      <c r="I325" s="5"/>
      <c r="N325" s="5"/>
    </row>
    <row r="326" ht="15.75" customHeight="1">
      <c r="H326" s="5"/>
      <c r="I326" s="5"/>
      <c r="N326" s="5"/>
    </row>
    <row r="327" ht="15.75" customHeight="1">
      <c r="H327" s="5"/>
      <c r="I327" s="5"/>
      <c r="N327" s="5"/>
    </row>
    <row r="328" ht="15.75" customHeight="1">
      <c r="H328" s="5"/>
      <c r="I328" s="5"/>
      <c r="N328" s="5"/>
    </row>
    <row r="329" ht="15.75" customHeight="1">
      <c r="H329" s="5"/>
      <c r="I329" s="5"/>
      <c r="N329" s="5"/>
    </row>
    <row r="330" ht="15.75" customHeight="1">
      <c r="H330" s="5"/>
      <c r="I330" s="5"/>
      <c r="N330" s="5"/>
    </row>
    <row r="331" ht="15.75" customHeight="1">
      <c r="H331" s="5"/>
      <c r="I331" s="5"/>
      <c r="N331" s="5"/>
    </row>
    <row r="332" ht="15.75" customHeight="1">
      <c r="H332" s="5"/>
      <c r="I332" s="5"/>
      <c r="N332" s="5"/>
    </row>
    <row r="333" ht="15.75" customHeight="1">
      <c r="H333" s="5"/>
      <c r="I333" s="5"/>
      <c r="N333" s="5"/>
    </row>
    <row r="334" ht="15.75" customHeight="1">
      <c r="H334" s="5"/>
      <c r="I334" s="5"/>
      <c r="N334" s="5"/>
    </row>
    <row r="335" ht="15.75" customHeight="1">
      <c r="H335" s="5"/>
      <c r="I335" s="5"/>
      <c r="N335" s="5"/>
    </row>
    <row r="336" ht="15.75" customHeight="1">
      <c r="H336" s="5"/>
      <c r="I336" s="5"/>
      <c r="N336" s="5"/>
    </row>
    <row r="337" ht="15.75" customHeight="1">
      <c r="H337" s="5"/>
      <c r="I337" s="5"/>
      <c r="N337" s="5"/>
    </row>
    <row r="338" ht="15.75" customHeight="1">
      <c r="H338" s="5"/>
      <c r="I338" s="5"/>
      <c r="N338" s="5"/>
    </row>
    <row r="339" ht="15.75" customHeight="1">
      <c r="H339" s="5"/>
      <c r="I339" s="5"/>
      <c r="N339" s="5"/>
    </row>
    <row r="340" ht="15.75" customHeight="1">
      <c r="H340" s="5"/>
      <c r="I340" s="5"/>
      <c r="N340" s="5"/>
    </row>
    <row r="341" ht="15.75" customHeight="1">
      <c r="H341" s="5"/>
      <c r="I341" s="5"/>
      <c r="N341" s="5"/>
    </row>
    <row r="342" ht="15.75" customHeight="1">
      <c r="H342" s="5"/>
      <c r="I342" s="5"/>
      <c r="N342" s="5"/>
    </row>
    <row r="343" ht="15.75" customHeight="1">
      <c r="H343" s="5"/>
      <c r="I343" s="5"/>
      <c r="N343" s="5"/>
    </row>
    <row r="344" ht="15.75" customHeight="1">
      <c r="H344" s="5"/>
      <c r="I344" s="5"/>
      <c r="N344" s="5"/>
    </row>
    <row r="345" ht="15.75" customHeight="1">
      <c r="H345" s="5"/>
      <c r="I345" s="5"/>
      <c r="N345" s="5"/>
    </row>
    <row r="346" ht="15.75" customHeight="1">
      <c r="H346" s="5"/>
      <c r="I346" s="5"/>
      <c r="N346" s="5"/>
    </row>
    <row r="347" ht="15.75" customHeight="1">
      <c r="H347" s="5"/>
      <c r="I347" s="5"/>
      <c r="N347" s="5"/>
    </row>
    <row r="348" ht="15.75" customHeight="1">
      <c r="H348" s="5"/>
      <c r="I348" s="5"/>
      <c r="N348" s="5"/>
    </row>
    <row r="349" ht="15.75" customHeight="1">
      <c r="H349" s="5"/>
      <c r="I349" s="5"/>
      <c r="N349" s="5"/>
    </row>
    <row r="350" ht="15.75" customHeight="1">
      <c r="H350" s="5"/>
      <c r="I350" s="5"/>
      <c r="N350" s="5"/>
    </row>
    <row r="351" ht="15.75" customHeight="1">
      <c r="H351" s="5"/>
      <c r="I351" s="5"/>
      <c r="N351" s="5"/>
    </row>
    <row r="352" ht="15.75" customHeight="1">
      <c r="H352" s="5"/>
      <c r="I352" s="5"/>
      <c r="N352" s="5"/>
    </row>
    <row r="353" ht="15.75" customHeight="1">
      <c r="H353" s="5"/>
      <c r="I353" s="5"/>
      <c r="N353" s="5"/>
    </row>
    <row r="354" ht="15.75" customHeight="1">
      <c r="H354" s="5"/>
      <c r="I354" s="5"/>
      <c r="N354" s="5"/>
    </row>
    <row r="355" ht="15.75" customHeight="1">
      <c r="H355" s="5"/>
      <c r="I355" s="5"/>
      <c r="N355" s="5"/>
    </row>
    <row r="356" ht="15.75" customHeight="1">
      <c r="H356" s="5"/>
      <c r="I356" s="5"/>
      <c r="N356" s="5"/>
    </row>
    <row r="357" ht="15.75" customHeight="1">
      <c r="H357" s="5"/>
      <c r="I357" s="5"/>
      <c r="N357" s="5"/>
    </row>
    <row r="358" ht="15.75" customHeight="1">
      <c r="H358" s="5"/>
      <c r="I358" s="5"/>
      <c r="N358" s="5"/>
    </row>
    <row r="359" ht="15.75" customHeight="1">
      <c r="H359" s="5"/>
      <c r="I359" s="5"/>
      <c r="N359" s="5"/>
    </row>
    <row r="360" ht="15.75" customHeight="1">
      <c r="H360" s="5"/>
      <c r="I360" s="5"/>
      <c r="N360" s="5"/>
    </row>
    <row r="361" ht="15.75" customHeight="1">
      <c r="H361" s="5"/>
      <c r="I361" s="5"/>
      <c r="N361" s="5"/>
    </row>
    <row r="362" ht="15.75" customHeight="1">
      <c r="H362" s="5"/>
      <c r="I362" s="5"/>
      <c r="N362" s="5"/>
    </row>
    <row r="363" ht="15.75" customHeight="1">
      <c r="H363" s="5"/>
      <c r="I363" s="5"/>
      <c r="N363" s="5"/>
    </row>
    <row r="364" ht="15.75" customHeight="1">
      <c r="H364" s="5"/>
      <c r="I364" s="5"/>
      <c r="N364" s="5"/>
    </row>
    <row r="365" ht="15.75" customHeight="1">
      <c r="H365" s="5"/>
      <c r="I365" s="5"/>
      <c r="N365" s="5"/>
    </row>
    <row r="366" ht="15.75" customHeight="1">
      <c r="H366" s="5"/>
      <c r="I366" s="5"/>
      <c r="N366" s="5"/>
    </row>
    <row r="367" ht="15.75" customHeight="1">
      <c r="H367" s="5"/>
      <c r="I367" s="5"/>
      <c r="N367" s="5"/>
    </row>
    <row r="368" ht="15.75" customHeight="1">
      <c r="H368" s="5"/>
      <c r="I368" s="5"/>
      <c r="N368" s="5"/>
    </row>
    <row r="369" ht="15.75" customHeight="1">
      <c r="H369" s="5"/>
      <c r="I369" s="5"/>
      <c r="N369" s="5"/>
    </row>
    <row r="370" ht="15.75" customHeight="1">
      <c r="H370" s="5"/>
      <c r="I370" s="5"/>
      <c r="N370" s="5"/>
    </row>
    <row r="371" ht="15.75" customHeight="1">
      <c r="H371" s="5"/>
      <c r="I371" s="5"/>
      <c r="N371" s="5"/>
    </row>
    <row r="372" ht="15.75" customHeight="1">
      <c r="H372" s="5"/>
      <c r="I372" s="5"/>
      <c r="N372" s="5"/>
    </row>
    <row r="373" ht="15.75" customHeight="1">
      <c r="H373" s="5"/>
      <c r="I373" s="5"/>
      <c r="N373" s="5"/>
    </row>
    <row r="374" ht="15.75" customHeight="1">
      <c r="H374" s="5"/>
      <c r="I374" s="5"/>
      <c r="N374" s="5"/>
    </row>
    <row r="375" ht="15.75" customHeight="1">
      <c r="H375" s="5"/>
      <c r="I375" s="5"/>
      <c r="N375" s="5"/>
    </row>
    <row r="376" ht="15.75" customHeight="1">
      <c r="H376" s="5"/>
      <c r="I376" s="5"/>
      <c r="N376" s="5"/>
    </row>
    <row r="377" ht="15.75" customHeight="1">
      <c r="H377" s="5"/>
      <c r="I377" s="5"/>
      <c r="N377" s="5"/>
    </row>
    <row r="378" ht="15.75" customHeight="1">
      <c r="H378" s="5"/>
      <c r="I378" s="5"/>
      <c r="N378" s="5"/>
    </row>
    <row r="379" ht="15.75" customHeight="1">
      <c r="H379" s="5"/>
      <c r="I379" s="5"/>
      <c r="N379" s="5"/>
    </row>
    <row r="380" ht="15.75" customHeight="1">
      <c r="H380" s="5"/>
      <c r="I380" s="5"/>
      <c r="N380" s="5"/>
    </row>
    <row r="381" ht="15.75" customHeight="1">
      <c r="H381" s="5"/>
      <c r="I381" s="5"/>
      <c r="N381" s="5"/>
    </row>
    <row r="382" ht="15.75" customHeight="1">
      <c r="H382" s="5"/>
      <c r="I382" s="5"/>
      <c r="N382" s="5"/>
    </row>
    <row r="383" ht="15.75" customHeight="1">
      <c r="H383" s="5"/>
      <c r="I383" s="5"/>
      <c r="N383" s="5"/>
    </row>
    <row r="384" ht="15.75" customHeight="1">
      <c r="H384" s="5"/>
      <c r="I384" s="5"/>
      <c r="N384" s="5"/>
    </row>
    <row r="385" ht="15.75" customHeight="1">
      <c r="H385" s="5"/>
      <c r="I385" s="5"/>
      <c r="N385" s="5"/>
    </row>
    <row r="386" ht="15.75" customHeight="1">
      <c r="H386" s="5"/>
      <c r="I386" s="5"/>
      <c r="N386" s="5"/>
    </row>
    <row r="387" ht="15.75" customHeight="1">
      <c r="H387" s="5"/>
      <c r="I387" s="5"/>
      <c r="N387" s="5"/>
    </row>
    <row r="388" ht="15.75" customHeight="1">
      <c r="H388" s="5"/>
      <c r="I388" s="5"/>
      <c r="N388" s="5"/>
    </row>
    <row r="389" ht="15.75" customHeight="1">
      <c r="H389" s="5"/>
      <c r="I389" s="5"/>
      <c r="N389" s="5"/>
    </row>
    <row r="390" ht="15.75" customHeight="1">
      <c r="H390" s="5"/>
      <c r="I390" s="5"/>
      <c r="N390" s="5"/>
    </row>
    <row r="391" ht="15.75" customHeight="1">
      <c r="H391" s="5"/>
      <c r="I391" s="5"/>
      <c r="N391" s="5"/>
    </row>
    <row r="392" ht="15.75" customHeight="1">
      <c r="H392" s="5"/>
      <c r="I392" s="5"/>
      <c r="N392" s="5"/>
    </row>
    <row r="393" ht="15.75" customHeight="1">
      <c r="H393" s="5"/>
      <c r="I393" s="5"/>
      <c r="N393" s="5"/>
    </row>
    <row r="394" ht="15.75" customHeight="1">
      <c r="H394" s="5"/>
      <c r="I394" s="5"/>
      <c r="N394" s="5"/>
    </row>
    <row r="395" ht="15.75" customHeight="1">
      <c r="H395" s="5"/>
      <c r="I395" s="5"/>
      <c r="N395" s="5"/>
    </row>
    <row r="396" ht="15.75" customHeight="1">
      <c r="H396" s="5"/>
      <c r="I396" s="5"/>
      <c r="N396" s="5"/>
    </row>
    <row r="397" ht="15.75" customHeight="1">
      <c r="H397" s="5"/>
      <c r="I397" s="5"/>
      <c r="N397" s="5"/>
    </row>
    <row r="398" ht="15.75" customHeight="1">
      <c r="H398" s="5"/>
      <c r="I398" s="5"/>
      <c r="N398" s="5"/>
    </row>
    <row r="399" ht="15.75" customHeight="1">
      <c r="H399" s="5"/>
      <c r="I399" s="5"/>
      <c r="N399" s="5"/>
    </row>
    <row r="400" ht="15.75" customHeight="1">
      <c r="H400" s="5"/>
      <c r="I400" s="5"/>
      <c r="N400" s="5"/>
    </row>
    <row r="401" ht="15.75" customHeight="1">
      <c r="H401" s="5"/>
      <c r="I401" s="5"/>
      <c r="N401" s="5"/>
    </row>
    <row r="402" ht="15.75" customHeight="1">
      <c r="H402" s="5"/>
      <c r="I402" s="5"/>
      <c r="N402" s="5"/>
    </row>
    <row r="403" ht="15.75" customHeight="1">
      <c r="H403" s="5"/>
      <c r="I403" s="5"/>
      <c r="N403" s="5"/>
    </row>
    <row r="404" ht="15.75" customHeight="1">
      <c r="H404" s="5"/>
      <c r="I404" s="5"/>
      <c r="N404" s="5"/>
    </row>
    <row r="405" ht="15.75" customHeight="1">
      <c r="H405" s="5"/>
      <c r="I405" s="5"/>
      <c r="N405" s="5"/>
    </row>
    <row r="406" ht="15.75" customHeight="1">
      <c r="H406" s="5"/>
      <c r="I406" s="5"/>
      <c r="N406" s="5"/>
    </row>
    <row r="407" ht="15.75" customHeight="1">
      <c r="H407" s="5"/>
      <c r="I407" s="5"/>
      <c r="N407" s="5"/>
    </row>
    <row r="408" ht="15.75" customHeight="1">
      <c r="H408" s="5"/>
      <c r="I408" s="5"/>
      <c r="N408" s="5"/>
    </row>
    <row r="409" ht="15.75" customHeight="1">
      <c r="H409" s="5"/>
      <c r="I409" s="5"/>
      <c r="N409" s="5"/>
    </row>
    <row r="410" ht="15.75" customHeight="1">
      <c r="H410" s="5"/>
      <c r="I410" s="5"/>
      <c r="N410" s="5"/>
    </row>
    <row r="411" ht="15.75" customHeight="1">
      <c r="H411" s="5"/>
      <c r="I411" s="5"/>
      <c r="N411" s="5"/>
    </row>
    <row r="412" ht="15.75" customHeight="1">
      <c r="H412" s="5"/>
      <c r="I412" s="5"/>
      <c r="N412" s="5"/>
    </row>
    <row r="413" ht="15.75" customHeight="1">
      <c r="H413" s="5"/>
      <c r="I413" s="5"/>
      <c r="N413" s="5"/>
    </row>
    <row r="414" ht="15.75" customHeight="1">
      <c r="H414" s="5"/>
      <c r="I414" s="5"/>
      <c r="N414" s="5"/>
    </row>
    <row r="415" ht="15.75" customHeight="1">
      <c r="H415" s="5"/>
      <c r="I415" s="5"/>
      <c r="N415" s="5"/>
    </row>
    <row r="416" ht="15.75" customHeight="1">
      <c r="H416" s="5"/>
      <c r="I416" s="5"/>
      <c r="N416" s="5"/>
    </row>
    <row r="417" ht="15.75" customHeight="1">
      <c r="H417" s="5"/>
      <c r="I417" s="5"/>
      <c r="N417" s="5"/>
    </row>
    <row r="418" ht="15.75" customHeight="1">
      <c r="H418" s="5"/>
      <c r="I418" s="5"/>
      <c r="N418" s="5"/>
    </row>
    <row r="419" ht="15.75" customHeight="1">
      <c r="H419" s="5"/>
      <c r="I419" s="5"/>
      <c r="N419" s="5"/>
    </row>
    <row r="420" ht="15.75" customHeight="1">
      <c r="H420" s="5"/>
      <c r="I420" s="5"/>
      <c r="N420" s="5"/>
    </row>
    <row r="421" ht="15.75" customHeight="1">
      <c r="H421" s="5"/>
      <c r="I421" s="5"/>
      <c r="N421" s="5"/>
    </row>
    <row r="422" ht="15.75" customHeight="1">
      <c r="H422" s="5"/>
      <c r="I422" s="5"/>
      <c r="N422" s="5"/>
    </row>
    <row r="423" ht="15.75" customHeight="1">
      <c r="H423" s="5"/>
      <c r="I423" s="5"/>
      <c r="N423" s="5"/>
    </row>
    <row r="424" ht="15.75" customHeight="1">
      <c r="H424" s="5"/>
      <c r="I424" s="5"/>
      <c r="N424" s="5"/>
    </row>
    <row r="425" ht="15.75" customHeight="1">
      <c r="H425" s="5"/>
      <c r="I425" s="5"/>
      <c r="N425" s="5"/>
    </row>
    <row r="426" ht="15.75" customHeight="1">
      <c r="H426" s="5"/>
      <c r="I426" s="5"/>
      <c r="N426" s="5"/>
    </row>
    <row r="427" ht="15.75" customHeight="1">
      <c r="H427" s="5"/>
      <c r="I427" s="5"/>
      <c r="N427" s="5"/>
    </row>
    <row r="428" ht="15.75" customHeight="1">
      <c r="H428" s="5"/>
      <c r="I428" s="5"/>
      <c r="N428" s="5"/>
    </row>
    <row r="429" ht="15.75" customHeight="1">
      <c r="H429" s="5"/>
      <c r="I429" s="5"/>
      <c r="N429" s="5"/>
    </row>
    <row r="430" ht="15.75" customHeight="1">
      <c r="H430" s="5"/>
      <c r="I430" s="5"/>
      <c r="N430" s="5"/>
    </row>
    <row r="431" ht="15.75" customHeight="1">
      <c r="H431" s="5"/>
      <c r="I431" s="5"/>
      <c r="N431" s="5"/>
    </row>
    <row r="432" ht="15.75" customHeight="1">
      <c r="H432" s="5"/>
      <c r="I432" s="5"/>
      <c r="N432" s="5"/>
    </row>
    <row r="433" ht="15.75" customHeight="1">
      <c r="H433" s="5"/>
      <c r="I433" s="5"/>
      <c r="N433" s="5"/>
    </row>
    <row r="434" ht="15.75" customHeight="1">
      <c r="H434" s="5"/>
      <c r="I434" s="5"/>
      <c r="N434" s="5"/>
    </row>
    <row r="435" ht="15.75" customHeight="1">
      <c r="H435" s="5"/>
      <c r="I435" s="5"/>
      <c r="N435" s="5"/>
    </row>
    <row r="436" ht="15.75" customHeight="1">
      <c r="H436" s="5"/>
      <c r="I436" s="5"/>
      <c r="N436" s="5"/>
    </row>
    <row r="437" ht="15.75" customHeight="1">
      <c r="H437" s="5"/>
      <c r="I437" s="5"/>
      <c r="N437" s="5"/>
    </row>
    <row r="438" ht="15.75" customHeight="1">
      <c r="H438" s="5"/>
      <c r="I438" s="5"/>
      <c r="N438" s="5"/>
    </row>
    <row r="439" ht="15.75" customHeight="1">
      <c r="H439" s="5"/>
      <c r="I439" s="5"/>
      <c r="N439" s="5"/>
    </row>
    <row r="440" ht="15.75" customHeight="1">
      <c r="H440" s="5"/>
      <c r="I440" s="5"/>
      <c r="N440" s="5"/>
    </row>
    <row r="441" ht="15.75" customHeight="1">
      <c r="H441" s="5"/>
      <c r="I441" s="5"/>
      <c r="N441" s="5"/>
    </row>
    <row r="442" ht="15.75" customHeight="1">
      <c r="H442" s="5"/>
      <c r="I442" s="5"/>
      <c r="N442" s="5"/>
    </row>
    <row r="443" ht="15.75" customHeight="1">
      <c r="H443" s="5"/>
      <c r="I443" s="5"/>
      <c r="N443" s="5"/>
    </row>
    <row r="444" ht="15.75" customHeight="1">
      <c r="H444" s="5"/>
      <c r="I444" s="5"/>
      <c r="N444" s="5"/>
    </row>
    <row r="445" ht="15.75" customHeight="1">
      <c r="H445" s="5"/>
      <c r="I445" s="5"/>
      <c r="N445" s="5"/>
    </row>
    <row r="446" ht="15.75" customHeight="1">
      <c r="H446" s="5"/>
      <c r="I446" s="5"/>
      <c r="N446" s="5"/>
    </row>
    <row r="447" ht="15.75" customHeight="1">
      <c r="H447" s="5"/>
      <c r="I447" s="5"/>
      <c r="N447" s="5"/>
    </row>
    <row r="448" ht="15.75" customHeight="1">
      <c r="H448" s="5"/>
      <c r="I448" s="5"/>
      <c r="N448" s="5"/>
    </row>
    <row r="449" ht="15.75" customHeight="1">
      <c r="H449" s="5"/>
      <c r="I449" s="5"/>
      <c r="N449" s="5"/>
    </row>
    <row r="450" ht="15.75" customHeight="1">
      <c r="H450" s="5"/>
      <c r="I450" s="5"/>
      <c r="N450" s="5"/>
    </row>
    <row r="451" ht="15.75" customHeight="1">
      <c r="H451" s="5"/>
      <c r="I451" s="5"/>
      <c r="N451" s="5"/>
    </row>
    <row r="452" ht="15.75" customHeight="1">
      <c r="H452" s="5"/>
      <c r="I452" s="5"/>
      <c r="N452" s="5"/>
    </row>
    <row r="453" ht="15.75" customHeight="1">
      <c r="H453" s="5"/>
      <c r="I453" s="5"/>
      <c r="N453" s="5"/>
    </row>
    <row r="454" ht="15.75" customHeight="1">
      <c r="H454" s="5"/>
      <c r="I454" s="5"/>
      <c r="N454" s="5"/>
    </row>
    <row r="455" ht="15.75" customHeight="1">
      <c r="H455" s="5"/>
      <c r="I455" s="5"/>
      <c r="N455" s="5"/>
    </row>
    <row r="456" ht="15.75" customHeight="1">
      <c r="H456" s="5"/>
      <c r="I456" s="5"/>
      <c r="N456" s="5"/>
    </row>
    <row r="457" ht="15.75" customHeight="1">
      <c r="H457" s="5"/>
      <c r="I457" s="5"/>
      <c r="N457" s="5"/>
    </row>
    <row r="458" ht="15.75" customHeight="1">
      <c r="H458" s="5"/>
      <c r="I458" s="5"/>
      <c r="N458" s="5"/>
    </row>
    <row r="459" ht="15.75" customHeight="1">
      <c r="H459" s="5"/>
      <c r="I459" s="5"/>
      <c r="N459" s="5"/>
    </row>
    <row r="460" ht="15.75" customHeight="1">
      <c r="H460" s="5"/>
      <c r="I460" s="5"/>
      <c r="N460" s="5"/>
    </row>
    <row r="461" ht="15.75" customHeight="1">
      <c r="H461" s="5"/>
      <c r="I461" s="5"/>
      <c r="N461" s="5"/>
    </row>
    <row r="462" ht="15.75" customHeight="1">
      <c r="H462" s="5"/>
      <c r="I462" s="5"/>
      <c r="N462" s="5"/>
    </row>
    <row r="463" ht="15.75" customHeight="1">
      <c r="H463" s="5"/>
      <c r="I463" s="5"/>
      <c r="N463" s="5"/>
    </row>
    <row r="464" ht="15.75" customHeight="1">
      <c r="H464" s="5"/>
      <c r="I464" s="5"/>
      <c r="N464" s="5"/>
    </row>
    <row r="465" ht="15.75" customHeight="1">
      <c r="H465" s="5"/>
      <c r="I465" s="5"/>
      <c r="N465" s="5"/>
    </row>
    <row r="466" ht="15.75" customHeight="1">
      <c r="H466" s="5"/>
      <c r="I466" s="5"/>
      <c r="N466" s="5"/>
    </row>
    <row r="467" ht="15.75" customHeight="1">
      <c r="H467" s="5"/>
      <c r="I467" s="5"/>
      <c r="N467" s="5"/>
    </row>
    <row r="468" ht="15.75" customHeight="1">
      <c r="H468" s="5"/>
      <c r="I468" s="5"/>
      <c r="N468" s="5"/>
    </row>
    <row r="469" ht="15.75" customHeight="1">
      <c r="H469" s="5"/>
      <c r="I469" s="5"/>
      <c r="N469" s="5"/>
    </row>
    <row r="470" ht="15.75" customHeight="1">
      <c r="H470" s="5"/>
      <c r="I470" s="5"/>
      <c r="N470" s="5"/>
    </row>
    <row r="471" ht="15.75" customHeight="1">
      <c r="H471" s="5"/>
      <c r="I471" s="5"/>
      <c r="N471" s="5"/>
    </row>
    <row r="472" ht="15.75" customHeight="1">
      <c r="H472" s="5"/>
      <c r="I472" s="5"/>
      <c r="N472" s="5"/>
    </row>
    <row r="473" ht="15.75" customHeight="1">
      <c r="H473" s="5"/>
      <c r="I473" s="5"/>
      <c r="N473" s="5"/>
    </row>
    <row r="474" ht="15.75" customHeight="1">
      <c r="H474" s="5"/>
      <c r="I474" s="5"/>
      <c r="N474" s="5"/>
    </row>
    <row r="475" ht="15.75" customHeight="1">
      <c r="H475" s="5"/>
      <c r="I475" s="5"/>
      <c r="N475" s="5"/>
    </row>
    <row r="476" ht="15.75" customHeight="1">
      <c r="H476" s="5"/>
      <c r="I476" s="5"/>
      <c r="N476" s="5"/>
    </row>
    <row r="477" ht="15.75" customHeight="1">
      <c r="H477" s="5"/>
      <c r="I477" s="5"/>
      <c r="N477" s="5"/>
    </row>
    <row r="478" ht="15.75" customHeight="1">
      <c r="H478" s="5"/>
      <c r="I478" s="5"/>
      <c r="N478" s="5"/>
    </row>
    <row r="479" ht="15.75" customHeight="1">
      <c r="H479" s="5"/>
      <c r="I479" s="5"/>
      <c r="N479" s="5"/>
    </row>
    <row r="480" ht="15.75" customHeight="1">
      <c r="H480" s="5"/>
      <c r="I480" s="5"/>
      <c r="N480" s="5"/>
    </row>
    <row r="481" ht="15.75" customHeight="1">
      <c r="H481" s="5"/>
      <c r="I481" s="5"/>
      <c r="N481" s="5"/>
    </row>
    <row r="482" ht="15.75" customHeight="1">
      <c r="H482" s="5"/>
      <c r="I482" s="5"/>
      <c r="N482" s="5"/>
    </row>
    <row r="483" ht="15.75" customHeight="1">
      <c r="H483" s="5"/>
      <c r="I483" s="5"/>
      <c r="N483" s="5"/>
    </row>
    <row r="484" ht="15.75" customHeight="1">
      <c r="H484" s="5"/>
      <c r="I484" s="5"/>
      <c r="N484" s="5"/>
    </row>
    <row r="485" ht="15.75" customHeight="1">
      <c r="H485" s="5"/>
      <c r="I485" s="5"/>
      <c r="N485" s="5"/>
    </row>
    <row r="486" ht="15.75" customHeight="1">
      <c r="H486" s="5"/>
      <c r="I486" s="5"/>
      <c r="N486" s="5"/>
    </row>
    <row r="487" ht="15.75" customHeight="1">
      <c r="H487" s="5"/>
      <c r="I487" s="5"/>
      <c r="N487" s="5"/>
    </row>
    <row r="488" ht="15.75" customHeight="1">
      <c r="H488" s="5"/>
      <c r="I488" s="5"/>
      <c r="N488" s="5"/>
    </row>
    <row r="489" ht="15.75" customHeight="1">
      <c r="H489" s="5"/>
      <c r="I489" s="5"/>
      <c r="N489" s="5"/>
    </row>
    <row r="490" ht="15.75" customHeight="1">
      <c r="H490" s="5"/>
      <c r="I490" s="5"/>
      <c r="N490" s="5"/>
    </row>
    <row r="491" ht="15.75" customHeight="1">
      <c r="H491" s="5"/>
      <c r="I491" s="5"/>
      <c r="N491" s="5"/>
    </row>
    <row r="492" ht="15.75" customHeight="1">
      <c r="H492" s="5"/>
      <c r="I492" s="5"/>
      <c r="N492" s="5"/>
    </row>
    <row r="493" ht="15.75" customHeight="1">
      <c r="H493" s="5"/>
      <c r="I493" s="5"/>
      <c r="N493" s="5"/>
    </row>
    <row r="494" ht="15.75" customHeight="1">
      <c r="H494" s="5"/>
      <c r="I494" s="5"/>
      <c r="N494" s="5"/>
    </row>
    <row r="495" ht="15.75" customHeight="1">
      <c r="H495" s="5"/>
      <c r="I495" s="5"/>
      <c r="N495" s="5"/>
    </row>
    <row r="496" ht="15.75" customHeight="1">
      <c r="H496" s="5"/>
      <c r="I496" s="5"/>
      <c r="N496" s="5"/>
    </row>
    <row r="497" ht="15.75" customHeight="1">
      <c r="H497" s="5"/>
      <c r="I497" s="5"/>
      <c r="N497" s="5"/>
    </row>
    <row r="498" ht="15.75" customHeight="1">
      <c r="H498" s="5"/>
      <c r="I498" s="5"/>
      <c r="N498" s="5"/>
    </row>
    <row r="499" ht="15.75" customHeight="1">
      <c r="H499" s="5"/>
      <c r="I499" s="5"/>
      <c r="N499" s="5"/>
    </row>
    <row r="500" ht="15.75" customHeight="1">
      <c r="H500" s="5"/>
      <c r="I500" s="5"/>
      <c r="N500" s="5"/>
    </row>
    <row r="501" ht="15.75" customHeight="1">
      <c r="H501" s="5"/>
      <c r="I501" s="5"/>
      <c r="N501" s="5"/>
    </row>
    <row r="502" ht="15.75" customHeight="1">
      <c r="H502" s="5"/>
      <c r="I502" s="5"/>
      <c r="N502" s="5"/>
    </row>
    <row r="503" ht="15.75" customHeight="1">
      <c r="H503" s="5"/>
      <c r="I503" s="5"/>
      <c r="N503" s="5"/>
    </row>
    <row r="504" ht="15.75" customHeight="1">
      <c r="H504" s="5"/>
      <c r="I504" s="5"/>
      <c r="N504" s="5"/>
    </row>
    <row r="505" ht="15.75" customHeight="1">
      <c r="H505" s="5"/>
      <c r="I505" s="5"/>
      <c r="N505" s="5"/>
    </row>
    <row r="506" ht="15.75" customHeight="1">
      <c r="H506" s="5"/>
      <c r="I506" s="5"/>
      <c r="N506" s="5"/>
    </row>
    <row r="507" ht="15.75" customHeight="1">
      <c r="H507" s="5"/>
      <c r="I507" s="5"/>
      <c r="N507" s="5"/>
    </row>
    <row r="508" ht="15.75" customHeight="1">
      <c r="H508" s="5"/>
      <c r="I508" s="5"/>
      <c r="N508" s="5"/>
    </row>
    <row r="509" ht="15.75" customHeight="1">
      <c r="H509" s="5"/>
      <c r="I509" s="5"/>
      <c r="N509" s="5"/>
    </row>
    <row r="510" ht="15.75" customHeight="1">
      <c r="H510" s="5"/>
      <c r="I510" s="5"/>
      <c r="N510" s="5"/>
    </row>
    <row r="511" ht="15.75" customHeight="1">
      <c r="H511" s="5"/>
      <c r="I511" s="5"/>
      <c r="N511" s="5"/>
    </row>
    <row r="512" ht="15.75" customHeight="1">
      <c r="H512" s="5"/>
      <c r="I512" s="5"/>
      <c r="N512" s="5"/>
    </row>
    <row r="513" ht="15.75" customHeight="1">
      <c r="H513" s="5"/>
      <c r="I513" s="5"/>
      <c r="N513" s="5"/>
    </row>
    <row r="514" ht="15.75" customHeight="1">
      <c r="H514" s="5"/>
      <c r="I514" s="5"/>
      <c r="N514" s="5"/>
    </row>
    <row r="515" ht="15.75" customHeight="1">
      <c r="H515" s="5"/>
      <c r="I515" s="5"/>
      <c r="N515" s="5"/>
    </row>
    <row r="516" ht="15.75" customHeight="1">
      <c r="H516" s="5"/>
      <c r="I516" s="5"/>
      <c r="N516" s="5"/>
    </row>
    <row r="517" ht="15.75" customHeight="1">
      <c r="H517" s="5"/>
      <c r="I517" s="5"/>
      <c r="N517" s="5"/>
    </row>
    <row r="518" ht="15.75" customHeight="1">
      <c r="H518" s="5"/>
      <c r="I518" s="5"/>
      <c r="N518" s="5"/>
    </row>
    <row r="519" ht="15.75" customHeight="1">
      <c r="H519" s="5"/>
      <c r="I519" s="5"/>
      <c r="N519" s="5"/>
    </row>
    <row r="520" ht="15.75" customHeight="1">
      <c r="H520" s="5"/>
      <c r="I520" s="5"/>
      <c r="N520" s="5"/>
    </row>
    <row r="521" ht="15.75" customHeight="1">
      <c r="H521" s="5"/>
      <c r="I521" s="5"/>
      <c r="N521" s="5"/>
    </row>
    <row r="522" ht="15.75" customHeight="1">
      <c r="H522" s="5"/>
      <c r="I522" s="5"/>
      <c r="N522" s="5"/>
    </row>
    <row r="523" ht="15.75" customHeight="1">
      <c r="H523" s="5"/>
      <c r="I523" s="5"/>
      <c r="N523" s="5"/>
    </row>
    <row r="524" ht="15.75" customHeight="1">
      <c r="H524" s="5"/>
      <c r="I524" s="5"/>
      <c r="N524" s="5"/>
    </row>
    <row r="525" ht="15.75" customHeight="1">
      <c r="H525" s="5"/>
      <c r="I525" s="5"/>
      <c r="N525" s="5"/>
    </row>
    <row r="526" ht="15.75" customHeight="1">
      <c r="H526" s="5"/>
      <c r="I526" s="5"/>
      <c r="N526" s="5"/>
    </row>
    <row r="527" ht="15.75" customHeight="1">
      <c r="H527" s="5"/>
      <c r="I527" s="5"/>
      <c r="N527" s="5"/>
    </row>
    <row r="528" ht="15.75" customHeight="1">
      <c r="H528" s="5"/>
      <c r="I528" s="5"/>
      <c r="N528" s="5"/>
    </row>
    <row r="529" ht="15.75" customHeight="1">
      <c r="H529" s="5"/>
      <c r="I529" s="5"/>
      <c r="N529" s="5"/>
    </row>
    <row r="530" ht="15.75" customHeight="1">
      <c r="H530" s="5"/>
      <c r="I530" s="5"/>
      <c r="N530" s="5"/>
    </row>
    <row r="531" ht="15.75" customHeight="1">
      <c r="H531" s="5"/>
      <c r="I531" s="5"/>
      <c r="N531" s="5"/>
    </row>
    <row r="532" ht="15.75" customHeight="1">
      <c r="H532" s="5"/>
      <c r="I532" s="5"/>
      <c r="N532" s="5"/>
    </row>
    <row r="533" ht="15.75" customHeight="1">
      <c r="H533" s="5"/>
      <c r="I533" s="5"/>
      <c r="N533" s="5"/>
    </row>
    <row r="534" ht="15.75" customHeight="1">
      <c r="H534" s="5"/>
      <c r="I534" s="5"/>
      <c r="N534" s="5"/>
    </row>
    <row r="535" ht="15.75" customHeight="1">
      <c r="H535" s="5"/>
      <c r="I535" s="5"/>
      <c r="N535" s="5"/>
    </row>
    <row r="536" ht="15.75" customHeight="1">
      <c r="H536" s="5"/>
      <c r="I536" s="5"/>
      <c r="N536" s="5"/>
    </row>
    <row r="537" ht="15.75" customHeight="1">
      <c r="H537" s="5"/>
      <c r="I537" s="5"/>
      <c r="N537" s="5"/>
    </row>
    <row r="538" ht="15.75" customHeight="1">
      <c r="H538" s="5"/>
      <c r="I538" s="5"/>
      <c r="N538" s="5"/>
    </row>
    <row r="539" ht="15.75" customHeight="1">
      <c r="H539" s="5"/>
      <c r="I539" s="5"/>
      <c r="N539" s="5"/>
    </row>
    <row r="540" ht="15.75" customHeight="1">
      <c r="H540" s="5"/>
      <c r="I540" s="5"/>
      <c r="N540" s="5"/>
    </row>
    <row r="541" ht="15.75" customHeight="1">
      <c r="H541" s="5"/>
      <c r="I541" s="5"/>
      <c r="N541" s="5"/>
    </row>
    <row r="542" ht="15.75" customHeight="1">
      <c r="H542" s="5"/>
      <c r="I542" s="5"/>
      <c r="N542" s="5"/>
    </row>
    <row r="543" ht="15.75" customHeight="1">
      <c r="H543" s="5"/>
      <c r="I543" s="5"/>
      <c r="N543" s="5"/>
    </row>
    <row r="544" ht="15.75" customHeight="1">
      <c r="H544" s="5"/>
      <c r="I544" s="5"/>
      <c r="N544" s="5"/>
    </row>
    <row r="545" ht="15.75" customHeight="1">
      <c r="H545" s="5"/>
      <c r="I545" s="5"/>
      <c r="N545" s="5"/>
    </row>
    <row r="546" ht="15.75" customHeight="1">
      <c r="H546" s="5"/>
      <c r="I546" s="5"/>
      <c r="N546" s="5"/>
    </row>
    <row r="547" ht="15.75" customHeight="1">
      <c r="H547" s="5"/>
      <c r="I547" s="5"/>
      <c r="N547" s="5"/>
    </row>
    <row r="548" ht="15.75" customHeight="1">
      <c r="H548" s="5"/>
      <c r="I548" s="5"/>
      <c r="N548" s="5"/>
    </row>
    <row r="549" ht="15.75" customHeight="1">
      <c r="H549" s="5"/>
      <c r="I549" s="5"/>
      <c r="N549" s="5"/>
    </row>
    <row r="550" ht="15.75" customHeight="1">
      <c r="H550" s="5"/>
      <c r="I550" s="5"/>
      <c r="N550" s="5"/>
    </row>
    <row r="551" ht="15.75" customHeight="1">
      <c r="H551" s="5"/>
      <c r="I551" s="5"/>
      <c r="N551" s="5"/>
    </row>
    <row r="552" ht="15.75" customHeight="1">
      <c r="H552" s="5"/>
      <c r="I552" s="5"/>
      <c r="N552" s="5"/>
    </row>
    <row r="553" ht="15.75" customHeight="1">
      <c r="H553" s="5"/>
      <c r="I553" s="5"/>
      <c r="N553" s="5"/>
    </row>
    <row r="554" ht="15.75" customHeight="1">
      <c r="H554" s="5"/>
      <c r="I554" s="5"/>
      <c r="N554" s="5"/>
    </row>
    <row r="555" ht="15.75" customHeight="1">
      <c r="H555" s="5"/>
      <c r="I555" s="5"/>
      <c r="N555" s="5"/>
    </row>
    <row r="556" ht="15.75" customHeight="1">
      <c r="H556" s="5"/>
      <c r="I556" s="5"/>
      <c r="N556" s="5"/>
    </row>
    <row r="557" ht="15.75" customHeight="1">
      <c r="H557" s="5"/>
      <c r="I557" s="5"/>
      <c r="N557" s="5"/>
    </row>
    <row r="558" ht="15.75" customHeight="1">
      <c r="H558" s="5"/>
      <c r="I558" s="5"/>
      <c r="N558" s="5"/>
    </row>
    <row r="559" ht="15.75" customHeight="1">
      <c r="H559" s="5"/>
      <c r="I559" s="5"/>
      <c r="N559" s="5"/>
    </row>
    <row r="560" ht="15.75" customHeight="1">
      <c r="H560" s="5"/>
      <c r="I560" s="5"/>
      <c r="N560" s="5"/>
    </row>
    <row r="561" ht="15.75" customHeight="1">
      <c r="H561" s="5"/>
      <c r="I561" s="5"/>
      <c r="N561" s="5"/>
    </row>
    <row r="562" ht="15.75" customHeight="1">
      <c r="H562" s="5"/>
      <c r="I562" s="5"/>
      <c r="N562" s="5"/>
    </row>
    <row r="563" ht="15.75" customHeight="1">
      <c r="H563" s="5"/>
      <c r="I563" s="5"/>
      <c r="N563" s="5"/>
    </row>
    <row r="564" ht="15.75" customHeight="1">
      <c r="H564" s="5"/>
      <c r="I564" s="5"/>
      <c r="N564" s="5"/>
    </row>
    <row r="565" ht="15.75" customHeight="1">
      <c r="H565" s="5"/>
      <c r="I565" s="5"/>
      <c r="N565" s="5"/>
    </row>
    <row r="566" ht="15.75" customHeight="1">
      <c r="H566" s="5"/>
      <c r="I566" s="5"/>
      <c r="N566" s="5"/>
    </row>
    <row r="567" ht="15.75" customHeight="1">
      <c r="H567" s="5"/>
      <c r="I567" s="5"/>
      <c r="N567" s="5"/>
    </row>
    <row r="568" ht="15.75" customHeight="1">
      <c r="H568" s="5"/>
      <c r="I568" s="5"/>
      <c r="N568" s="5"/>
    </row>
    <row r="569" ht="15.75" customHeight="1">
      <c r="H569" s="5"/>
      <c r="I569" s="5"/>
      <c r="N569" s="5"/>
    </row>
    <row r="570" ht="15.75" customHeight="1">
      <c r="H570" s="5"/>
      <c r="I570" s="5"/>
      <c r="N570" s="5"/>
    </row>
    <row r="571" ht="15.75" customHeight="1">
      <c r="H571" s="5"/>
      <c r="I571" s="5"/>
      <c r="N571" s="5"/>
    </row>
    <row r="572" ht="15.75" customHeight="1">
      <c r="H572" s="5"/>
      <c r="I572" s="5"/>
      <c r="N572" s="5"/>
    </row>
    <row r="573" ht="15.75" customHeight="1">
      <c r="H573" s="5"/>
      <c r="I573" s="5"/>
      <c r="N573" s="5"/>
    </row>
    <row r="574" ht="15.75" customHeight="1">
      <c r="H574" s="5"/>
      <c r="I574" s="5"/>
      <c r="N574" s="5"/>
    </row>
    <row r="575" ht="15.75" customHeight="1">
      <c r="H575" s="5"/>
      <c r="I575" s="5"/>
      <c r="N575" s="5"/>
    </row>
    <row r="576" ht="15.75" customHeight="1">
      <c r="H576" s="5"/>
      <c r="I576" s="5"/>
      <c r="N576" s="5"/>
    </row>
    <row r="577" ht="15.75" customHeight="1">
      <c r="H577" s="5"/>
      <c r="I577" s="5"/>
      <c r="N577" s="5"/>
    </row>
    <row r="578" ht="15.75" customHeight="1">
      <c r="H578" s="5"/>
      <c r="I578" s="5"/>
      <c r="N578" s="5"/>
    </row>
    <row r="579" ht="15.75" customHeight="1">
      <c r="H579" s="5"/>
      <c r="I579" s="5"/>
      <c r="N579" s="5"/>
    </row>
    <row r="580" ht="15.75" customHeight="1">
      <c r="H580" s="5"/>
      <c r="I580" s="5"/>
      <c r="N580" s="5"/>
    </row>
    <row r="581" ht="15.75" customHeight="1">
      <c r="H581" s="5"/>
      <c r="I581" s="5"/>
      <c r="N581" s="5"/>
    </row>
    <row r="582" ht="15.75" customHeight="1">
      <c r="H582" s="5"/>
      <c r="I582" s="5"/>
      <c r="N582" s="5"/>
    </row>
    <row r="583" ht="15.75" customHeight="1">
      <c r="H583" s="5"/>
      <c r="I583" s="5"/>
      <c r="N583" s="5"/>
    </row>
    <row r="584" ht="15.75" customHeight="1">
      <c r="H584" s="5"/>
      <c r="I584" s="5"/>
      <c r="N584" s="5"/>
    </row>
    <row r="585" ht="15.75" customHeight="1">
      <c r="H585" s="5"/>
      <c r="I585" s="5"/>
      <c r="N585" s="5"/>
    </row>
    <row r="586" ht="15.75" customHeight="1">
      <c r="H586" s="5"/>
      <c r="I586" s="5"/>
      <c r="N586" s="5"/>
    </row>
    <row r="587" ht="15.75" customHeight="1">
      <c r="H587" s="5"/>
      <c r="I587" s="5"/>
      <c r="N587" s="5"/>
    </row>
    <row r="588" ht="15.75" customHeight="1">
      <c r="H588" s="5"/>
      <c r="I588" s="5"/>
      <c r="N588" s="5"/>
    </row>
    <row r="589" ht="15.75" customHeight="1">
      <c r="H589" s="5"/>
      <c r="I589" s="5"/>
      <c r="N589" s="5"/>
    </row>
    <row r="590" ht="15.75" customHeight="1">
      <c r="H590" s="5"/>
      <c r="I590" s="5"/>
      <c r="N590" s="5"/>
    </row>
    <row r="591" ht="15.75" customHeight="1">
      <c r="H591" s="5"/>
      <c r="I591" s="5"/>
      <c r="N591" s="5"/>
    </row>
    <row r="592" ht="15.75" customHeight="1">
      <c r="H592" s="5"/>
      <c r="I592" s="5"/>
      <c r="N592" s="5"/>
    </row>
    <row r="593" ht="15.75" customHeight="1">
      <c r="H593" s="5"/>
      <c r="I593" s="5"/>
      <c r="N593" s="5"/>
    </row>
    <row r="594" ht="15.75" customHeight="1">
      <c r="H594" s="5"/>
      <c r="I594" s="5"/>
      <c r="N594" s="5"/>
    </row>
    <row r="595" ht="15.75" customHeight="1">
      <c r="H595" s="5"/>
      <c r="I595" s="5"/>
      <c r="N595" s="5"/>
    </row>
    <row r="596" ht="15.75" customHeight="1">
      <c r="H596" s="5"/>
      <c r="I596" s="5"/>
      <c r="N596" s="5"/>
    </row>
    <row r="597" ht="15.75" customHeight="1">
      <c r="H597" s="5"/>
      <c r="I597" s="5"/>
      <c r="N597" s="5"/>
    </row>
    <row r="598" ht="15.75" customHeight="1">
      <c r="H598" s="5"/>
      <c r="I598" s="5"/>
      <c r="N598" s="5"/>
    </row>
    <row r="599" ht="15.75" customHeight="1">
      <c r="H599" s="5"/>
      <c r="I599" s="5"/>
      <c r="N599" s="5"/>
    </row>
    <row r="600" ht="15.75" customHeight="1">
      <c r="H600" s="5"/>
      <c r="I600" s="5"/>
      <c r="N600" s="5"/>
    </row>
    <row r="601" ht="15.75" customHeight="1">
      <c r="H601" s="5"/>
      <c r="I601" s="5"/>
      <c r="N601" s="5"/>
    </row>
    <row r="602" ht="15.75" customHeight="1">
      <c r="H602" s="5"/>
      <c r="I602" s="5"/>
      <c r="N602" s="5"/>
    </row>
    <row r="603" ht="15.75" customHeight="1">
      <c r="H603" s="5"/>
      <c r="I603" s="5"/>
      <c r="N603" s="5"/>
    </row>
    <row r="604" ht="15.75" customHeight="1">
      <c r="H604" s="5"/>
      <c r="I604" s="5"/>
      <c r="N604" s="5"/>
    </row>
    <row r="605" ht="15.75" customHeight="1">
      <c r="H605" s="5"/>
      <c r="I605" s="5"/>
      <c r="N605" s="5"/>
    </row>
    <row r="606" ht="15.75" customHeight="1">
      <c r="H606" s="5"/>
      <c r="I606" s="5"/>
      <c r="N606" s="5"/>
    </row>
    <row r="607" ht="15.75" customHeight="1">
      <c r="H607" s="5"/>
      <c r="I607" s="5"/>
      <c r="N607" s="5"/>
    </row>
    <row r="608" ht="15.75" customHeight="1">
      <c r="H608" s="5"/>
      <c r="I608" s="5"/>
      <c r="N608" s="5"/>
    </row>
    <row r="609" ht="15.75" customHeight="1">
      <c r="H609" s="5"/>
      <c r="I609" s="5"/>
      <c r="N609" s="5"/>
    </row>
    <row r="610" ht="15.75" customHeight="1">
      <c r="H610" s="5"/>
      <c r="I610" s="5"/>
      <c r="N610" s="5"/>
    </row>
    <row r="611" ht="15.75" customHeight="1">
      <c r="H611" s="5"/>
      <c r="I611" s="5"/>
      <c r="N611" s="5"/>
    </row>
    <row r="612" ht="15.75" customHeight="1">
      <c r="H612" s="5"/>
      <c r="I612" s="5"/>
      <c r="N612" s="5"/>
    </row>
    <row r="613" ht="15.75" customHeight="1">
      <c r="H613" s="5"/>
      <c r="I613" s="5"/>
      <c r="N613" s="5"/>
    </row>
    <row r="614" ht="15.75" customHeight="1">
      <c r="H614" s="5"/>
      <c r="I614" s="5"/>
      <c r="N614" s="5"/>
    </row>
    <row r="615" ht="15.75" customHeight="1">
      <c r="H615" s="5"/>
      <c r="I615" s="5"/>
      <c r="N615" s="5"/>
    </row>
    <row r="616" ht="15.75" customHeight="1">
      <c r="H616" s="5"/>
      <c r="I616" s="5"/>
      <c r="N616" s="5"/>
    </row>
    <row r="617" ht="15.75" customHeight="1">
      <c r="H617" s="5"/>
      <c r="I617" s="5"/>
      <c r="N617" s="5"/>
    </row>
    <row r="618" ht="15.75" customHeight="1">
      <c r="H618" s="5"/>
      <c r="I618" s="5"/>
      <c r="N618" s="5"/>
    </row>
    <row r="619" ht="15.75" customHeight="1">
      <c r="H619" s="5"/>
      <c r="I619" s="5"/>
      <c r="N619" s="5"/>
    </row>
    <row r="620" ht="15.75" customHeight="1">
      <c r="H620" s="5"/>
      <c r="I620" s="5"/>
      <c r="N620" s="5"/>
    </row>
    <row r="621" ht="15.75" customHeight="1">
      <c r="H621" s="5"/>
      <c r="I621" s="5"/>
      <c r="N621" s="5"/>
    </row>
    <row r="622" ht="15.75" customHeight="1">
      <c r="H622" s="5"/>
      <c r="I622" s="5"/>
      <c r="N622" s="5"/>
    </row>
    <row r="623" ht="15.75" customHeight="1">
      <c r="H623" s="5"/>
      <c r="I623" s="5"/>
      <c r="N623" s="5"/>
    </row>
    <row r="624" ht="15.75" customHeight="1">
      <c r="H624" s="5"/>
      <c r="I624" s="5"/>
      <c r="N624" s="5"/>
    </row>
    <row r="625" ht="15.75" customHeight="1">
      <c r="H625" s="5"/>
      <c r="I625" s="5"/>
      <c r="N625" s="5"/>
    </row>
    <row r="626" ht="15.75" customHeight="1">
      <c r="H626" s="5"/>
      <c r="I626" s="5"/>
      <c r="N626" s="5"/>
    </row>
    <row r="627" ht="15.75" customHeight="1">
      <c r="H627" s="5"/>
      <c r="I627" s="5"/>
      <c r="N627" s="5"/>
    </row>
    <row r="628" ht="15.75" customHeight="1">
      <c r="H628" s="5"/>
      <c r="I628" s="5"/>
      <c r="N628" s="5"/>
    </row>
    <row r="629" ht="15.75" customHeight="1">
      <c r="H629" s="5"/>
      <c r="I629" s="5"/>
      <c r="N629" s="5"/>
    </row>
    <row r="630" ht="15.75" customHeight="1">
      <c r="H630" s="5"/>
      <c r="I630" s="5"/>
      <c r="N630" s="5"/>
    </row>
    <row r="631" ht="15.75" customHeight="1">
      <c r="H631" s="5"/>
      <c r="I631" s="5"/>
      <c r="N631" s="5"/>
    </row>
    <row r="632" ht="15.75" customHeight="1">
      <c r="H632" s="5"/>
      <c r="I632" s="5"/>
      <c r="N632" s="5"/>
    </row>
    <row r="633" ht="15.75" customHeight="1">
      <c r="H633" s="5"/>
      <c r="I633" s="5"/>
      <c r="N633" s="5"/>
    </row>
    <row r="634" ht="15.75" customHeight="1">
      <c r="H634" s="5"/>
      <c r="I634" s="5"/>
      <c r="N634" s="5"/>
    </row>
    <row r="635" ht="15.75" customHeight="1">
      <c r="H635" s="5"/>
      <c r="I635" s="5"/>
      <c r="N635" s="5"/>
    </row>
    <row r="636" ht="15.75" customHeight="1">
      <c r="H636" s="5"/>
      <c r="I636" s="5"/>
      <c r="N636" s="5"/>
    </row>
    <row r="637" ht="15.75" customHeight="1">
      <c r="H637" s="5"/>
      <c r="I637" s="5"/>
      <c r="N637" s="5"/>
    </row>
    <row r="638" ht="15.75" customHeight="1">
      <c r="H638" s="5"/>
      <c r="I638" s="5"/>
      <c r="N638" s="5"/>
    </row>
    <row r="639" ht="15.75" customHeight="1">
      <c r="H639" s="5"/>
      <c r="I639" s="5"/>
      <c r="N639" s="5"/>
    </row>
    <row r="640" ht="15.75" customHeight="1">
      <c r="H640" s="5"/>
      <c r="I640" s="5"/>
      <c r="N640" s="5"/>
    </row>
    <row r="641" ht="15.75" customHeight="1">
      <c r="H641" s="5"/>
      <c r="I641" s="5"/>
      <c r="N641" s="5"/>
    </row>
    <row r="642" ht="15.75" customHeight="1">
      <c r="H642" s="5"/>
      <c r="I642" s="5"/>
      <c r="N642" s="5"/>
    </row>
    <row r="643" ht="15.75" customHeight="1">
      <c r="H643" s="5"/>
      <c r="I643" s="5"/>
      <c r="N643" s="5"/>
    </row>
    <row r="644" ht="15.75" customHeight="1">
      <c r="H644" s="5"/>
      <c r="I644" s="5"/>
      <c r="N644" s="5"/>
    </row>
    <row r="645" ht="15.75" customHeight="1">
      <c r="H645" s="5"/>
      <c r="I645" s="5"/>
      <c r="N645" s="5"/>
    </row>
    <row r="646" ht="15.75" customHeight="1">
      <c r="H646" s="5"/>
      <c r="I646" s="5"/>
      <c r="N646" s="5"/>
    </row>
    <row r="647" ht="15.75" customHeight="1">
      <c r="H647" s="5"/>
      <c r="I647" s="5"/>
      <c r="N647" s="5"/>
    </row>
    <row r="648" ht="15.75" customHeight="1">
      <c r="H648" s="5"/>
      <c r="I648" s="5"/>
      <c r="N648" s="5"/>
    </row>
    <row r="649" ht="15.75" customHeight="1">
      <c r="H649" s="5"/>
      <c r="I649" s="5"/>
      <c r="N649" s="5"/>
    </row>
    <row r="650" ht="15.75" customHeight="1">
      <c r="H650" s="5"/>
      <c r="I650" s="5"/>
      <c r="N650" s="5"/>
    </row>
    <row r="651" ht="15.75" customHeight="1">
      <c r="H651" s="5"/>
      <c r="I651" s="5"/>
      <c r="N651" s="5"/>
    </row>
    <row r="652" ht="15.75" customHeight="1">
      <c r="H652" s="5"/>
      <c r="I652" s="5"/>
      <c r="N652" s="5"/>
    </row>
    <row r="653" ht="15.75" customHeight="1">
      <c r="H653" s="5"/>
      <c r="I653" s="5"/>
      <c r="N653" s="5"/>
    </row>
    <row r="654" ht="15.75" customHeight="1">
      <c r="H654" s="5"/>
      <c r="I654" s="5"/>
      <c r="N654" s="5"/>
    </row>
    <row r="655" ht="15.75" customHeight="1">
      <c r="H655" s="5"/>
      <c r="I655" s="5"/>
      <c r="N655" s="5"/>
    </row>
    <row r="656" ht="15.75" customHeight="1">
      <c r="H656" s="5"/>
      <c r="I656" s="5"/>
      <c r="N656" s="5"/>
    </row>
    <row r="657" ht="15.75" customHeight="1">
      <c r="H657" s="5"/>
      <c r="I657" s="5"/>
      <c r="N657" s="5"/>
    </row>
    <row r="658" ht="15.75" customHeight="1">
      <c r="H658" s="5"/>
      <c r="I658" s="5"/>
      <c r="N658" s="5"/>
    </row>
    <row r="659" ht="15.75" customHeight="1">
      <c r="H659" s="5"/>
      <c r="I659" s="5"/>
      <c r="N659" s="5"/>
    </row>
    <row r="660" ht="15.75" customHeight="1">
      <c r="H660" s="5"/>
      <c r="I660" s="5"/>
      <c r="N660" s="5"/>
    </row>
    <row r="661" ht="15.75" customHeight="1">
      <c r="H661" s="5"/>
      <c r="I661" s="5"/>
      <c r="N661" s="5"/>
    </row>
    <row r="662" ht="15.75" customHeight="1">
      <c r="H662" s="5"/>
      <c r="I662" s="5"/>
      <c r="N662" s="5"/>
    </row>
    <row r="663" ht="15.75" customHeight="1">
      <c r="H663" s="5"/>
      <c r="I663" s="5"/>
      <c r="N663" s="5"/>
    </row>
    <row r="664" ht="15.75" customHeight="1">
      <c r="H664" s="5"/>
      <c r="I664" s="5"/>
      <c r="N664" s="5"/>
    </row>
    <row r="665" ht="15.75" customHeight="1">
      <c r="H665" s="5"/>
      <c r="I665" s="5"/>
      <c r="N665" s="5"/>
    </row>
    <row r="666" ht="15.75" customHeight="1">
      <c r="H666" s="5"/>
      <c r="I666" s="5"/>
      <c r="N666" s="5"/>
    </row>
    <row r="667" ht="15.75" customHeight="1">
      <c r="H667" s="5"/>
      <c r="I667" s="5"/>
      <c r="N667" s="5"/>
    </row>
    <row r="668" ht="15.75" customHeight="1">
      <c r="H668" s="5"/>
      <c r="I668" s="5"/>
      <c r="N668" s="5"/>
    </row>
    <row r="669" ht="15.75" customHeight="1">
      <c r="H669" s="5"/>
      <c r="I669" s="5"/>
      <c r="N669" s="5"/>
    </row>
    <row r="670" ht="15.75" customHeight="1">
      <c r="H670" s="5"/>
      <c r="I670" s="5"/>
      <c r="N670" s="5"/>
    </row>
    <row r="671" ht="15.75" customHeight="1">
      <c r="H671" s="5"/>
      <c r="I671" s="5"/>
      <c r="N671" s="5"/>
    </row>
    <row r="672" ht="15.75" customHeight="1">
      <c r="H672" s="5"/>
      <c r="I672" s="5"/>
      <c r="N672" s="5"/>
    </row>
    <row r="673" ht="15.75" customHeight="1">
      <c r="H673" s="5"/>
      <c r="I673" s="5"/>
      <c r="N673" s="5"/>
    </row>
    <row r="674" ht="15.75" customHeight="1">
      <c r="H674" s="5"/>
      <c r="I674" s="5"/>
      <c r="N674" s="5"/>
    </row>
    <row r="675" ht="15.75" customHeight="1">
      <c r="H675" s="5"/>
      <c r="I675" s="5"/>
      <c r="N675" s="5"/>
    </row>
    <row r="676" ht="15.75" customHeight="1">
      <c r="H676" s="5"/>
      <c r="I676" s="5"/>
      <c r="N676" s="5"/>
    </row>
    <row r="677" ht="15.75" customHeight="1">
      <c r="H677" s="5"/>
      <c r="I677" s="5"/>
      <c r="N677" s="5"/>
    </row>
    <row r="678" ht="15.75" customHeight="1">
      <c r="H678" s="5"/>
      <c r="I678" s="5"/>
      <c r="N678" s="5"/>
    </row>
    <row r="679" ht="15.75" customHeight="1">
      <c r="H679" s="5"/>
      <c r="I679" s="5"/>
      <c r="N679" s="5"/>
    </row>
    <row r="680" ht="15.75" customHeight="1">
      <c r="H680" s="5"/>
      <c r="I680" s="5"/>
      <c r="N680" s="5"/>
    </row>
    <row r="681" ht="15.75" customHeight="1">
      <c r="H681" s="5"/>
      <c r="I681" s="5"/>
      <c r="N681" s="5"/>
    </row>
    <row r="682" ht="15.75" customHeight="1">
      <c r="H682" s="5"/>
      <c r="I682" s="5"/>
      <c r="N682" s="5"/>
    </row>
    <row r="683" ht="15.75" customHeight="1">
      <c r="H683" s="5"/>
      <c r="I683" s="5"/>
      <c r="N683" s="5"/>
    </row>
    <row r="684" ht="15.75" customHeight="1">
      <c r="H684" s="5"/>
      <c r="I684" s="5"/>
      <c r="N684" s="5"/>
    </row>
    <row r="685" ht="15.75" customHeight="1">
      <c r="H685" s="5"/>
      <c r="I685" s="5"/>
      <c r="N685" s="5"/>
    </row>
    <row r="686" ht="15.75" customHeight="1">
      <c r="H686" s="5"/>
      <c r="I686" s="5"/>
      <c r="N686" s="5"/>
    </row>
    <row r="687" ht="15.75" customHeight="1">
      <c r="H687" s="5"/>
      <c r="I687" s="5"/>
      <c r="N687" s="5"/>
    </row>
    <row r="688" ht="15.75" customHeight="1">
      <c r="H688" s="5"/>
      <c r="I688" s="5"/>
      <c r="N688" s="5"/>
    </row>
    <row r="689" ht="15.75" customHeight="1">
      <c r="H689" s="5"/>
      <c r="I689" s="5"/>
      <c r="N689" s="5"/>
    </row>
    <row r="690" ht="15.75" customHeight="1">
      <c r="H690" s="5"/>
      <c r="I690" s="5"/>
      <c r="N690" s="5"/>
    </row>
    <row r="691" ht="15.75" customHeight="1">
      <c r="H691" s="5"/>
      <c r="I691" s="5"/>
      <c r="N691" s="5"/>
    </row>
    <row r="692" ht="15.75" customHeight="1">
      <c r="H692" s="5"/>
      <c r="I692" s="5"/>
      <c r="N692" s="5"/>
    </row>
    <row r="693" ht="15.75" customHeight="1">
      <c r="H693" s="5"/>
      <c r="I693" s="5"/>
      <c r="N693" s="5"/>
    </row>
    <row r="694" ht="15.75" customHeight="1">
      <c r="H694" s="5"/>
      <c r="I694" s="5"/>
      <c r="N694" s="5"/>
    </row>
    <row r="695" ht="15.75" customHeight="1">
      <c r="H695" s="5"/>
      <c r="I695" s="5"/>
      <c r="N695" s="5"/>
    </row>
    <row r="696" ht="15.75" customHeight="1">
      <c r="H696" s="5"/>
      <c r="I696" s="5"/>
      <c r="N696" s="5"/>
    </row>
    <row r="697" ht="15.75" customHeight="1">
      <c r="H697" s="5"/>
      <c r="I697" s="5"/>
      <c r="N697" s="5"/>
    </row>
    <row r="698" ht="15.75" customHeight="1">
      <c r="H698" s="5"/>
      <c r="I698" s="5"/>
      <c r="N698" s="5"/>
    </row>
    <row r="699" ht="15.75" customHeight="1">
      <c r="H699" s="5"/>
      <c r="I699" s="5"/>
      <c r="N699" s="5"/>
    </row>
    <row r="700" ht="15.75" customHeight="1">
      <c r="H700" s="5"/>
      <c r="I700" s="5"/>
      <c r="N700" s="5"/>
    </row>
    <row r="701" ht="15.75" customHeight="1">
      <c r="H701" s="5"/>
      <c r="I701" s="5"/>
      <c r="N701" s="5"/>
    </row>
    <row r="702" ht="15.75" customHeight="1">
      <c r="H702" s="5"/>
      <c r="I702" s="5"/>
      <c r="N702" s="5"/>
    </row>
    <row r="703" ht="15.75" customHeight="1">
      <c r="H703" s="5"/>
      <c r="I703" s="5"/>
      <c r="N703" s="5"/>
    </row>
    <row r="704" ht="15.75" customHeight="1">
      <c r="H704" s="5"/>
      <c r="I704" s="5"/>
      <c r="N704" s="5"/>
    </row>
    <row r="705" ht="15.75" customHeight="1">
      <c r="H705" s="5"/>
      <c r="I705" s="5"/>
      <c r="N705" s="5"/>
    </row>
    <row r="706" ht="15.75" customHeight="1">
      <c r="H706" s="5"/>
      <c r="I706" s="5"/>
      <c r="N706" s="5"/>
    </row>
    <row r="707" ht="15.75" customHeight="1">
      <c r="H707" s="5"/>
      <c r="I707" s="5"/>
      <c r="N707" s="5"/>
    </row>
    <row r="708" ht="15.75" customHeight="1">
      <c r="H708" s="5"/>
      <c r="I708" s="5"/>
      <c r="N708" s="5"/>
    </row>
    <row r="709" ht="15.75" customHeight="1">
      <c r="H709" s="5"/>
      <c r="I709" s="5"/>
      <c r="N709" s="5"/>
    </row>
    <row r="710" ht="15.75" customHeight="1">
      <c r="H710" s="5"/>
      <c r="I710" s="5"/>
      <c r="N710" s="5"/>
    </row>
    <row r="711" ht="15.75" customHeight="1">
      <c r="H711" s="5"/>
      <c r="I711" s="5"/>
      <c r="N711" s="5"/>
    </row>
    <row r="712" ht="15.75" customHeight="1">
      <c r="H712" s="5"/>
      <c r="I712" s="5"/>
      <c r="N712" s="5"/>
    </row>
    <row r="713" ht="15.75" customHeight="1">
      <c r="H713" s="5"/>
      <c r="I713" s="5"/>
      <c r="N713" s="5"/>
    </row>
    <row r="714" ht="15.75" customHeight="1">
      <c r="H714" s="5"/>
      <c r="I714" s="5"/>
      <c r="N714" s="5"/>
    </row>
    <row r="715" ht="15.75" customHeight="1">
      <c r="H715" s="5"/>
      <c r="I715" s="5"/>
      <c r="N715" s="5"/>
    </row>
    <row r="716" ht="15.75" customHeight="1">
      <c r="H716" s="5"/>
      <c r="I716" s="5"/>
      <c r="N716" s="5"/>
    </row>
    <row r="717" ht="15.75" customHeight="1">
      <c r="H717" s="5"/>
      <c r="I717" s="5"/>
      <c r="N717" s="5"/>
    </row>
    <row r="718" ht="15.75" customHeight="1">
      <c r="H718" s="5"/>
      <c r="I718" s="5"/>
      <c r="N718" s="5"/>
    </row>
    <row r="719" ht="15.75" customHeight="1">
      <c r="H719" s="5"/>
      <c r="I719" s="5"/>
      <c r="N719" s="5"/>
    </row>
    <row r="720" ht="15.75" customHeight="1">
      <c r="H720" s="5"/>
      <c r="I720" s="5"/>
      <c r="N720" s="5"/>
    </row>
    <row r="721" ht="15.75" customHeight="1">
      <c r="H721" s="5"/>
      <c r="I721" s="5"/>
      <c r="N721" s="5"/>
    </row>
    <row r="722" ht="15.75" customHeight="1">
      <c r="H722" s="5"/>
      <c r="I722" s="5"/>
      <c r="N722" s="5"/>
    </row>
    <row r="723" ht="15.75" customHeight="1">
      <c r="H723" s="5"/>
      <c r="I723" s="5"/>
      <c r="N723" s="5"/>
    </row>
    <row r="724" ht="15.75" customHeight="1">
      <c r="H724" s="5"/>
      <c r="I724" s="5"/>
      <c r="N724" s="5"/>
    </row>
    <row r="725" ht="15.75" customHeight="1">
      <c r="H725" s="5"/>
      <c r="I725" s="5"/>
      <c r="N725" s="5"/>
    </row>
    <row r="726" ht="15.75" customHeight="1">
      <c r="H726" s="5"/>
      <c r="I726" s="5"/>
      <c r="N726" s="5"/>
    </row>
    <row r="727" ht="15.75" customHeight="1">
      <c r="H727" s="5"/>
      <c r="I727" s="5"/>
      <c r="N727" s="5"/>
    </row>
    <row r="728" ht="15.75" customHeight="1">
      <c r="H728" s="5"/>
      <c r="I728" s="5"/>
      <c r="N728" s="5"/>
    </row>
    <row r="729" ht="15.75" customHeight="1">
      <c r="H729" s="5"/>
      <c r="I729" s="5"/>
      <c r="N729" s="5"/>
    </row>
    <row r="730" ht="15.75" customHeight="1">
      <c r="H730" s="5"/>
      <c r="I730" s="5"/>
      <c r="N730" s="5"/>
    </row>
    <row r="731" ht="15.75" customHeight="1">
      <c r="H731" s="5"/>
      <c r="I731" s="5"/>
      <c r="N731" s="5"/>
    </row>
    <row r="732" ht="15.75" customHeight="1">
      <c r="H732" s="5"/>
      <c r="I732" s="5"/>
      <c r="N732" s="5"/>
    </row>
    <row r="733" ht="15.75" customHeight="1">
      <c r="H733" s="5"/>
      <c r="I733" s="5"/>
      <c r="N733" s="5"/>
    </row>
    <row r="734" ht="15.75" customHeight="1">
      <c r="H734" s="5"/>
      <c r="I734" s="5"/>
      <c r="N734" s="5"/>
    </row>
    <row r="735" ht="15.75" customHeight="1">
      <c r="H735" s="5"/>
      <c r="I735" s="5"/>
      <c r="N735" s="5"/>
    </row>
    <row r="736" ht="15.75" customHeight="1">
      <c r="H736" s="5"/>
      <c r="I736" s="5"/>
      <c r="N736" s="5"/>
    </row>
    <row r="737" ht="15.75" customHeight="1">
      <c r="H737" s="5"/>
      <c r="I737" s="5"/>
      <c r="N737" s="5"/>
    </row>
    <row r="738" ht="15.75" customHeight="1">
      <c r="H738" s="5"/>
      <c r="I738" s="5"/>
      <c r="N738" s="5"/>
    </row>
    <row r="739" ht="15.75" customHeight="1">
      <c r="H739" s="5"/>
      <c r="I739" s="5"/>
      <c r="N739" s="5"/>
    </row>
    <row r="740" ht="15.75" customHeight="1">
      <c r="H740" s="5"/>
      <c r="I740" s="5"/>
      <c r="N740" s="5"/>
    </row>
    <row r="741" ht="15.75" customHeight="1">
      <c r="H741" s="5"/>
      <c r="I741" s="5"/>
      <c r="N741" s="5"/>
    </row>
    <row r="742" ht="15.75" customHeight="1">
      <c r="H742" s="5"/>
      <c r="I742" s="5"/>
      <c r="N742" s="5"/>
    </row>
    <row r="743" ht="15.75" customHeight="1">
      <c r="H743" s="5"/>
      <c r="I743" s="5"/>
      <c r="N743" s="5"/>
    </row>
    <row r="744" ht="15.75" customHeight="1">
      <c r="H744" s="5"/>
      <c r="I744" s="5"/>
      <c r="N744" s="5"/>
    </row>
    <row r="745" ht="15.75" customHeight="1">
      <c r="H745" s="5"/>
      <c r="I745" s="5"/>
      <c r="N745" s="5"/>
    </row>
    <row r="746" ht="15.75" customHeight="1">
      <c r="H746" s="5"/>
      <c r="I746" s="5"/>
      <c r="N746" s="5"/>
    </row>
    <row r="747" ht="15.75" customHeight="1">
      <c r="H747" s="5"/>
      <c r="I747" s="5"/>
      <c r="N747" s="5"/>
    </row>
    <row r="748" ht="15.75" customHeight="1">
      <c r="H748" s="5"/>
      <c r="I748" s="5"/>
      <c r="N748" s="5"/>
    </row>
    <row r="749" ht="15.75" customHeight="1">
      <c r="H749" s="5"/>
      <c r="I749" s="5"/>
      <c r="N749" s="5"/>
    </row>
    <row r="750" ht="15.75" customHeight="1">
      <c r="H750" s="5"/>
      <c r="I750" s="5"/>
      <c r="N750" s="5"/>
    </row>
    <row r="751" ht="15.75" customHeight="1">
      <c r="H751" s="5"/>
      <c r="I751" s="5"/>
      <c r="N751" s="5"/>
    </row>
    <row r="752" ht="15.75" customHeight="1">
      <c r="H752" s="5"/>
      <c r="I752" s="5"/>
      <c r="N752" s="5"/>
    </row>
    <row r="753" ht="15.75" customHeight="1">
      <c r="H753" s="5"/>
      <c r="I753" s="5"/>
      <c r="N753" s="5"/>
    </row>
    <row r="754" ht="15.75" customHeight="1">
      <c r="H754" s="5"/>
      <c r="I754" s="5"/>
      <c r="N754" s="5"/>
    </row>
    <row r="755" ht="15.75" customHeight="1">
      <c r="H755" s="5"/>
      <c r="I755" s="5"/>
      <c r="N755" s="5"/>
    </row>
    <row r="756" ht="15.75" customHeight="1">
      <c r="H756" s="5"/>
      <c r="I756" s="5"/>
      <c r="N756" s="5"/>
    </row>
    <row r="757" ht="15.75" customHeight="1">
      <c r="H757" s="5"/>
      <c r="I757" s="5"/>
      <c r="N757" s="5"/>
    </row>
    <row r="758" ht="15.75" customHeight="1">
      <c r="H758" s="5"/>
      <c r="I758" s="5"/>
      <c r="N758" s="5"/>
    </row>
    <row r="759" ht="15.75" customHeight="1">
      <c r="H759" s="5"/>
      <c r="I759" s="5"/>
      <c r="N759" s="5"/>
    </row>
    <row r="760" ht="15.75" customHeight="1">
      <c r="H760" s="5"/>
      <c r="I760" s="5"/>
      <c r="N760" s="5"/>
    </row>
    <row r="761" ht="15.75" customHeight="1">
      <c r="H761" s="5"/>
      <c r="I761" s="5"/>
      <c r="N761" s="5"/>
    </row>
    <row r="762" ht="15.75" customHeight="1">
      <c r="H762" s="5"/>
      <c r="I762" s="5"/>
      <c r="N762" s="5"/>
    </row>
    <row r="763" ht="15.75" customHeight="1">
      <c r="H763" s="5"/>
      <c r="I763" s="5"/>
      <c r="N763" s="5"/>
    </row>
    <row r="764" ht="15.75" customHeight="1">
      <c r="H764" s="5"/>
      <c r="I764" s="5"/>
      <c r="N764" s="5"/>
    </row>
    <row r="765" ht="15.75" customHeight="1">
      <c r="H765" s="5"/>
      <c r="I765" s="5"/>
      <c r="N765" s="5"/>
    </row>
    <row r="766" ht="15.75" customHeight="1">
      <c r="H766" s="5"/>
      <c r="I766" s="5"/>
      <c r="N766" s="5"/>
    </row>
    <row r="767" ht="15.75" customHeight="1">
      <c r="H767" s="5"/>
      <c r="I767" s="5"/>
      <c r="N767" s="5"/>
    </row>
    <row r="768" ht="15.75" customHeight="1">
      <c r="H768" s="5"/>
      <c r="I768" s="5"/>
      <c r="N768" s="5"/>
    </row>
    <row r="769" ht="15.75" customHeight="1">
      <c r="H769" s="5"/>
      <c r="I769" s="5"/>
      <c r="N769" s="5"/>
    </row>
    <row r="770" ht="15.75" customHeight="1">
      <c r="H770" s="5"/>
      <c r="I770" s="5"/>
      <c r="N770" s="5"/>
    </row>
    <row r="771" ht="15.75" customHeight="1">
      <c r="H771" s="5"/>
      <c r="I771" s="5"/>
      <c r="N771" s="5"/>
    </row>
    <row r="772" ht="15.75" customHeight="1">
      <c r="H772" s="5"/>
      <c r="I772" s="5"/>
      <c r="N772" s="5"/>
    </row>
    <row r="773" ht="15.75" customHeight="1">
      <c r="H773" s="5"/>
      <c r="I773" s="5"/>
      <c r="N773" s="5"/>
    </row>
    <row r="774" ht="15.75" customHeight="1">
      <c r="H774" s="5"/>
      <c r="I774" s="5"/>
      <c r="N774" s="5"/>
    </row>
    <row r="775" ht="15.75" customHeight="1">
      <c r="H775" s="5"/>
      <c r="I775" s="5"/>
      <c r="N775" s="5"/>
    </row>
    <row r="776" ht="15.75" customHeight="1">
      <c r="H776" s="5"/>
      <c r="I776" s="5"/>
      <c r="N776" s="5"/>
    </row>
    <row r="777" ht="15.75" customHeight="1">
      <c r="H777" s="5"/>
      <c r="I777" s="5"/>
      <c r="N777" s="5"/>
    </row>
    <row r="778" ht="15.75" customHeight="1">
      <c r="H778" s="5"/>
      <c r="I778" s="5"/>
      <c r="N778" s="5"/>
    </row>
    <row r="779" ht="15.75" customHeight="1">
      <c r="H779" s="5"/>
      <c r="I779" s="5"/>
      <c r="N779" s="5"/>
    </row>
    <row r="780" ht="15.75" customHeight="1">
      <c r="H780" s="5"/>
      <c r="I780" s="5"/>
      <c r="N780" s="5"/>
    </row>
    <row r="781" ht="15.75" customHeight="1">
      <c r="H781" s="5"/>
      <c r="I781" s="5"/>
      <c r="N781" s="5"/>
    </row>
    <row r="782" ht="15.75" customHeight="1">
      <c r="H782" s="5"/>
      <c r="I782" s="5"/>
      <c r="N782" s="5"/>
    </row>
    <row r="783" ht="15.75" customHeight="1">
      <c r="H783" s="5"/>
      <c r="I783" s="5"/>
      <c r="N783" s="5"/>
    </row>
    <row r="784" ht="15.75" customHeight="1">
      <c r="H784" s="5"/>
      <c r="I784" s="5"/>
      <c r="N784" s="5"/>
    </row>
    <row r="785" ht="15.75" customHeight="1">
      <c r="H785" s="5"/>
      <c r="I785" s="5"/>
      <c r="N785" s="5"/>
    </row>
    <row r="786" ht="15.75" customHeight="1">
      <c r="H786" s="5"/>
      <c r="I786" s="5"/>
      <c r="N786" s="5"/>
    </row>
    <row r="787" ht="15.75" customHeight="1">
      <c r="H787" s="5"/>
      <c r="I787" s="5"/>
      <c r="N787" s="5"/>
    </row>
    <row r="788" ht="15.75" customHeight="1">
      <c r="H788" s="5"/>
      <c r="I788" s="5"/>
      <c r="N788" s="5"/>
    </row>
    <row r="789" ht="15.75" customHeight="1">
      <c r="H789" s="5"/>
      <c r="I789" s="5"/>
      <c r="N789" s="5"/>
    </row>
    <row r="790" ht="15.75" customHeight="1">
      <c r="H790" s="5"/>
      <c r="I790" s="5"/>
      <c r="N790" s="5"/>
    </row>
    <row r="791" ht="15.75" customHeight="1">
      <c r="H791" s="5"/>
      <c r="I791" s="5"/>
      <c r="N791" s="5"/>
    </row>
    <row r="792" ht="15.75" customHeight="1">
      <c r="H792" s="5"/>
      <c r="I792" s="5"/>
      <c r="N792" s="5"/>
    </row>
    <row r="793" ht="15.75" customHeight="1">
      <c r="H793" s="5"/>
      <c r="I793" s="5"/>
      <c r="N793" s="5"/>
    </row>
    <row r="794" ht="15.75" customHeight="1">
      <c r="H794" s="5"/>
      <c r="I794" s="5"/>
      <c r="N794" s="5"/>
    </row>
    <row r="795" ht="15.75" customHeight="1">
      <c r="H795" s="5"/>
      <c r="I795" s="5"/>
      <c r="N795" s="5"/>
    </row>
    <row r="796" ht="15.75" customHeight="1">
      <c r="H796" s="5"/>
      <c r="I796" s="5"/>
      <c r="N796" s="5"/>
    </row>
    <row r="797" ht="15.75" customHeight="1">
      <c r="H797" s="5"/>
      <c r="I797" s="5"/>
      <c r="N797" s="5"/>
    </row>
    <row r="798" ht="15.75" customHeight="1">
      <c r="H798" s="5"/>
      <c r="I798" s="5"/>
      <c r="N798" s="5"/>
    </row>
    <row r="799" ht="15.75" customHeight="1">
      <c r="H799" s="5"/>
      <c r="I799" s="5"/>
      <c r="N799" s="5"/>
    </row>
    <row r="800" ht="15.75" customHeight="1">
      <c r="H800" s="5"/>
      <c r="I800" s="5"/>
      <c r="N800" s="5"/>
    </row>
    <row r="801" ht="15.75" customHeight="1">
      <c r="H801" s="5"/>
      <c r="I801" s="5"/>
      <c r="N801" s="5"/>
    </row>
    <row r="802" ht="15.75" customHeight="1">
      <c r="H802" s="5"/>
      <c r="I802" s="5"/>
      <c r="N802" s="5"/>
    </row>
    <row r="803" ht="15.75" customHeight="1">
      <c r="H803" s="5"/>
      <c r="I803" s="5"/>
      <c r="N803" s="5"/>
    </row>
    <row r="804" ht="15.75" customHeight="1">
      <c r="H804" s="5"/>
      <c r="I804" s="5"/>
      <c r="N804" s="5"/>
    </row>
    <row r="805" ht="15.75" customHeight="1">
      <c r="H805" s="5"/>
      <c r="I805" s="5"/>
      <c r="N805" s="5"/>
    </row>
    <row r="806" ht="15.75" customHeight="1">
      <c r="H806" s="5"/>
      <c r="I806" s="5"/>
      <c r="N806" s="5"/>
    </row>
    <row r="807" ht="15.75" customHeight="1">
      <c r="H807" s="5"/>
      <c r="I807" s="5"/>
      <c r="N807" s="5"/>
    </row>
    <row r="808" ht="15.75" customHeight="1">
      <c r="H808" s="5"/>
      <c r="I808" s="5"/>
      <c r="N808" s="5"/>
    </row>
    <row r="809" ht="15.75" customHeight="1">
      <c r="H809" s="5"/>
      <c r="I809" s="5"/>
      <c r="N809" s="5"/>
    </row>
    <row r="810" ht="15.75" customHeight="1">
      <c r="H810" s="5"/>
      <c r="I810" s="5"/>
      <c r="N810" s="5"/>
    </row>
    <row r="811" ht="15.75" customHeight="1">
      <c r="H811" s="5"/>
      <c r="I811" s="5"/>
      <c r="N811" s="5"/>
    </row>
    <row r="812" ht="15.75" customHeight="1">
      <c r="H812" s="5"/>
      <c r="I812" s="5"/>
      <c r="N812" s="5"/>
    </row>
    <row r="813" ht="15.75" customHeight="1">
      <c r="H813" s="5"/>
      <c r="I813" s="5"/>
      <c r="N813" s="5"/>
    </row>
    <row r="814" ht="15.75" customHeight="1">
      <c r="H814" s="5"/>
      <c r="I814" s="5"/>
      <c r="N814" s="5"/>
    </row>
    <row r="815" ht="15.75" customHeight="1">
      <c r="H815" s="5"/>
      <c r="I815" s="5"/>
      <c r="N815" s="5"/>
    </row>
    <row r="816" ht="15.75" customHeight="1">
      <c r="H816" s="5"/>
      <c r="I816" s="5"/>
      <c r="N816" s="5"/>
    </row>
    <row r="817" ht="15.75" customHeight="1">
      <c r="H817" s="5"/>
      <c r="I817" s="5"/>
      <c r="N817" s="5"/>
    </row>
    <row r="818" ht="15.75" customHeight="1">
      <c r="H818" s="5"/>
      <c r="I818" s="5"/>
      <c r="N818" s="5"/>
    </row>
    <row r="819" ht="15.75" customHeight="1">
      <c r="H819" s="5"/>
      <c r="I819" s="5"/>
      <c r="N819" s="5"/>
    </row>
    <row r="820" ht="15.75" customHeight="1">
      <c r="H820" s="5"/>
      <c r="I820" s="5"/>
      <c r="N820" s="5"/>
    </row>
    <row r="821" ht="15.75" customHeight="1">
      <c r="H821" s="5"/>
      <c r="I821" s="5"/>
      <c r="N821" s="5"/>
    </row>
    <row r="822" ht="15.75" customHeight="1">
      <c r="H822" s="5"/>
      <c r="I822" s="5"/>
      <c r="N822" s="5"/>
    </row>
    <row r="823" ht="15.75" customHeight="1">
      <c r="H823" s="5"/>
      <c r="I823" s="5"/>
      <c r="N823" s="5"/>
    </row>
    <row r="824" ht="15.75" customHeight="1">
      <c r="H824" s="5"/>
      <c r="I824" s="5"/>
      <c r="N824" s="5"/>
    </row>
    <row r="825" ht="15.75" customHeight="1">
      <c r="H825" s="5"/>
      <c r="I825" s="5"/>
      <c r="N825" s="5"/>
    </row>
    <row r="826" ht="15.75" customHeight="1">
      <c r="H826" s="5"/>
      <c r="I826" s="5"/>
      <c r="N826" s="5"/>
    </row>
    <row r="827" ht="15.75" customHeight="1">
      <c r="H827" s="5"/>
      <c r="I827" s="5"/>
      <c r="N827" s="5"/>
    </row>
    <row r="828" ht="15.75" customHeight="1">
      <c r="H828" s="5"/>
      <c r="I828" s="5"/>
      <c r="N828" s="5"/>
    </row>
    <row r="829" ht="15.75" customHeight="1">
      <c r="H829" s="5"/>
      <c r="I829" s="5"/>
      <c r="N829" s="5"/>
    </row>
    <row r="830" ht="15.75" customHeight="1">
      <c r="H830" s="5"/>
      <c r="I830" s="5"/>
      <c r="N830" s="5"/>
    </row>
    <row r="831" ht="15.75" customHeight="1">
      <c r="H831" s="5"/>
      <c r="I831" s="5"/>
      <c r="N831" s="5"/>
    </row>
    <row r="832" ht="15.75" customHeight="1">
      <c r="H832" s="5"/>
      <c r="I832" s="5"/>
      <c r="N832" s="5"/>
    </row>
    <row r="833" ht="15.75" customHeight="1">
      <c r="H833" s="5"/>
      <c r="I833" s="5"/>
      <c r="N833" s="5"/>
    </row>
    <row r="834" ht="15.75" customHeight="1">
      <c r="H834" s="5"/>
      <c r="I834" s="5"/>
      <c r="N834" s="5"/>
    </row>
    <row r="835" ht="15.75" customHeight="1">
      <c r="H835" s="5"/>
      <c r="I835" s="5"/>
      <c r="N835" s="5"/>
    </row>
    <row r="836" ht="15.75" customHeight="1">
      <c r="H836" s="5"/>
      <c r="I836" s="5"/>
      <c r="N836" s="5"/>
    </row>
    <row r="837" ht="15.75" customHeight="1">
      <c r="H837" s="5"/>
      <c r="I837" s="5"/>
      <c r="N837" s="5"/>
    </row>
    <row r="838" ht="15.75" customHeight="1">
      <c r="H838" s="5"/>
      <c r="I838" s="5"/>
      <c r="N838" s="5"/>
    </row>
    <row r="839" ht="15.75" customHeight="1">
      <c r="H839" s="5"/>
      <c r="I839" s="5"/>
      <c r="N839" s="5"/>
    </row>
    <row r="840" ht="15.75" customHeight="1">
      <c r="H840" s="5"/>
      <c r="I840" s="5"/>
      <c r="N840" s="5"/>
    </row>
    <row r="841" ht="15.75" customHeight="1">
      <c r="H841" s="5"/>
      <c r="I841" s="5"/>
      <c r="N841" s="5"/>
    </row>
    <row r="842" ht="15.75" customHeight="1">
      <c r="H842" s="5"/>
      <c r="I842" s="5"/>
      <c r="N842" s="5"/>
    </row>
    <row r="843" ht="15.75" customHeight="1">
      <c r="H843" s="5"/>
      <c r="I843" s="5"/>
      <c r="N843" s="5"/>
    </row>
    <row r="844" ht="15.75" customHeight="1">
      <c r="H844" s="5"/>
      <c r="I844" s="5"/>
      <c r="N844" s="5"/>
    </row>
    <row r="845" ht="15.75" customHeight="1">
      <c r="H845" s="5"/>
      <c r="I845" s="5"/>
      <c r="N845" s="5"/>
    </row>
    <row r="846" ht="15.75" customHeight="1">
      <c r="H846" s="5"/>
      <c r="I846" s="5"/>
      <c r="N846" s="5"/>
    </row>
    <row r="847" ht="15.75" customHeight="1">
      <c r="H847" s="5"/>
      <c r="I847" s="5"/>
      <c r="N847" s="5"/>
    </row>
    <row r="848" ht="15.75" customHeight="1">
      <c r="H848" s="5"/>
      <c r="I848" s="5"/>
      <c r="N848" s="5"/>
    </row>
    <row r="849" ht="15.75" customHeight="1">
      <c r="H849" s="5"/>
      <c r="I849" s="5"/>
      <c r="N849" s="5"/>
    </row>
    <row r="850" ht="15.75" customHeight="1">
      <c r="H850" s="5"/>
      <c r="I850" s="5"/>
      <c r="N850" s="5"/>
    </row>
    <row r="851" ht="15.75" customHeight="1">
      <c r="H851" s="5"/>
      <c r="I851" s="5"/>
      <c r="N851" s="5"/>
    </row>
    <row r="852" ht="15.75" customHeight="1">
      <c r="H852" s="5"/>
      <c r="I852" s="5"/>
      <c r="N852" s="5"/>
    </row>
    <row r="853" ht="15.75" customHeight="1">
      <c r="H853" s="5"/>
      <c r="I853" s="5"/>
      <c r="N853" s="5"/>
    </row>
    <row r="854" ht="15.75" customHeight="1">
      <c r="H854" s="5"/>
      <c r="I854" s="5"/>
      <c r="N854" s="5"/>
    </row>
    <row r="855" ht="15.75" customHeight="1">
      <c r="H855" s="5"/>
      <c r="I855" s="5"/>
      <c r="N855" s="5"/>
    </row>
    <row r="856" ht="15.75" customHeight="1">
      <c r="H856" s="5"/>
      <c r="I856" s="5"/>
      <c r="N856" s="5"/>
    </row>
    <row r="857" ht="15.75" customHeight="1">
      <c r="H857" s="5"/>
      <c r="I857" s="5"/>
      <c r="N857" s="5"/>
    </row>
    <row r="858" ht="15.75" customHeight="1">
      <c r="H858" s="5"/>
      <c r="I858" s="5"/>
      <c r="N858" s="5"/>
    </row>
    <row r="859" ht="15.75" customHeight="1">
      <c r="H859" s="5"/>
      <c r="I859" s="5"/>
      <c r="N859" s="5"/>
    </row>
    <row r="860" ht="15.75" customHeight="1">
      <c r="H860" s="5"/>
      <c r="I860" s="5"/>
      <c r="N860" s="5"/>
    </row>
    <row r="861" ht="15.75" customHeight="1">
      <c r="H861" s="5"/>
      <c r="I861" s="5"/>
      <c r="N861" s="5"/>
    </row>
    <row r="862" ht="15.75" customHeight="1">
      <c r="H862" s="5"/>
      <c r="I862" s="5"/>
      <c r="N862" s="5"/>
    </row>
    <row r="863" ht="15.75" customHeight="1">
      <c r="H863" s="5"/>
      <c r="I863" s="5"/>
      <c r="N863" s="5"/>
    </row>
    <row r="864" ht="15.75" customHeight="1">
      <c r="H864" s="5"/>
      <c r="I864" s="5"/>
      <c r="N864" s="5"/>
    </row>
    <row r="865" ht="15.75" customHeight="1">
      <c r="H865" s="5"/>
      <c r="I865" s="5"/>
      <c r="N865" s="5"/>
    </row>
    <row r="866" ht="15.75" customHeight="1">
      <c r="H866" s="5"/>
      <c r="I866" s="5"/>
      <c r="N866" s="5"/>
    </row>
    <row r="867" ht="15.75" customHeight="1">
      <c r="H867" s="5"/>
      <c r="I867" s="5"/>
      <c r="N867" s="5"/>
    </row>
    <row r="868" ht="15.75" customHeight="1">
      <c r="H868" s="5"/>
      <c r="I868" s="5"/>
      <c r="N868" s="5"/>
    </row>
    <row r="869" ht="15.75" customHeight="1">
      <c r="H869" s="5"/>
      <c r="I869" s="5"/>
      <c r="N869" s="5"/>
    </row>
    <row r="870" ht="15.75" customHeight="1">
      <c r="H870" s="5"/>
      <c r="I870" s="5"/>
      <c r="N870" s="5"/>
    </row>
    <row r="871" ht="15.75" customHeight="1">
      <c r="H871" s="5"/>
      <c r="I871" s="5"/>
      <c r="N871" s="5"/>
    </row>
    <row r="872" ht="15.75" customHeight="1">
      <c r="H872" s="5"/>
      <c r="I872" s="5"/>
      <c r="N872" s="5"/>
    </row>
    <row r="873" ht="15.75" customHeight="1">
      <c r="H873" s="5"/>
      <c r="I873" s="5"/>
      <c r="N873" s="5"/>
    </row>
    <row r="874" ht="15.75" customHeight="1">
      <c r="H874" s="5"/>
      <c r="I874" s="5"/>
      <c r="N874" s="5"/>
    </row>
    <row r="875" ht="15.75" customHeight="1">
      <c r="H875" s="5"/>
      <c r="I875" s="5"/>
      <c r="N875" s="5"/>
    </row>
    <row r="876" ht="15.75" customHeight="1">
      <c r="H876" s="5"/>
      <c r="I876" s="5"/>
      <c r="N876" s="5"/>
    </row>
    <row r="877" ht="15.75" customHeight="1">
      <c r="H877" s="5"/>
      <c r="I877" s="5"/>
      <c r="N877" s="5"/>
    </row>
    <row r="878" ht="15.75" customHeight="1">
      <c r="H878" s="5"/>
      <c r="I878" s="5"/>
      <c r="N878" s="5"/>
    </row>
    <row r="879" ht="15.75" customHeight="1">
      <c r="H879" s="5"/>
      <c r="I879" s="5"/>
      <c r="N879" s="5"/>
    </row>
    <row r="880" ht="15.75" customHeight="1">
      <c r="H880" s="5"/>
      <c r="I880" s="5"/>
      <c r="N880" s="5"/>
    </row>
    <row r="881" ht="15.75" customHeight="1">
      <c r="H881" s="5"/>
      <c r="I881" s="5"/>
      <c r="N881" s="5"/>
    </row>
    <row r="882" ht="15.75" customHeight="1">
      <c r="H882" s="5"/>
      <c r="I882" s="5"/>
      <c r="N882" s="5"/>
    </row>
    <row r="883" ht="15.75" customHeight="1">
      <c r="H883" s="5"/>
      <c r="I883" s="5"/>
      <c r="N883" s="5"/>
    </row>
    <row r="884" ht="15.75" customHeight="1">
      <c r="H884" s="5"/>
      <c r="I884" s="5"/>
      <c r="N884" s="5"/>
    </row>
    <row r="885" ht="15.75" customHeight="1">
      <c r="H885" s="5"/>
      <c r="I885" s="5"/>
      <c r="N885" s="5"/>
    </row>
    <row r="886" ht="15.75" customHeight="1">
      <c r="H886" s="5"/>
      <c r="I886" s="5"/>
      <c r="N886" s="5"/>
    </row>
    <row r="887" ht="15.75" customHeight="1">
      <c r="H887" s="5"/>
      <c r="I887" s="5"/>
      <c r="N887" s="5"/>
    </row>
    <row r="888" ht="15.75" customHeight="1">
      <c r="H888" s="5"/>
      <c r="I888" s="5"/>
      <c r="N888" s="5"/>
    </row>
    <row r="889" ht="15.75" customHeight="1">
      <c r="H889" s="5"/>
      <c r="I889" s="5"/>
      <c r="N889" s="5"/>
    </row>
    <row r="890" ht="15.75" customHeight="1">
      <c r="H890" s="5"/>
      <c r="I890" s="5"/>
      <c r="N890" s="5"/>
    </row>
    <row r="891" ht="15.75" customHeight="1">
      <c r="H891" s="5"/>
      <c r="I891" s="5"/>
      <c r="N891" s="5"/>
    </row>
    <row r="892" ht="15.75" customHeight="1">
      <c r="H892" s="5"/>
      <c r="I892" s="5"/>
      <c r="N892" s="5"/>
    </row>
    <row r="893" ht="15.75" customHeight="1">
      <c r="H893" s="5"/>
      <c r="I893" s="5"/>
      <c r="N893" s="5"/>
    </row>
    <row r="894" ht="15.75" customHeight="1">
      <c r="H894" s="5"/>
      <c r="I894" s="5"/>
      <c r="N894" s="5"/>
    </row>
    <row r="895" ht="15.75" customHeight="1">
      <c r="H895" s="5"/>
      <c r="I895" s="5"/>
      <c r="N895" s="5"/>
    </row>
    <row r="896" ht="15.75" customHeight="1">
      <c r="H896" s="5"/>
      <c r="I896" s="5"/>
      <c r="N896" s="5"/>
    </row>
    <row r="897" ht="15.75" customHeight="1">
      <c r="H897" s="5"/>
      <c r="I897" s="5"/>
      <c r="N897" s="5"/>
    </row>
    <row r="898" ht="15.75" customHeight="1">
      <c r="H898" s="5"/>
      <c r="I898" s="5"/>
      <c r="N898" s="5"/>
    </row>
    <row r="899" ht="15.75" customHeight="1">
      <c r="H899" s="5"/>
      <c r="I899" s="5"/>
      <c r="N899" s="5"/>
    </row>
    <row r="900" ht="15.75" customHeight="1">
      <c r="H900" s="5"/>
      <c r="I900" s="5"/>
      <c r="N900" s="5"/>
    </row>
    <row r="901" ht="15.75" customHeight="1">
      <c r="H901" s="5"/>
      <c r="I901" s="5"/>
      <c r="N901" s="5"/>
    </row>
    <row r="902" ht="15.75" customHeight="1">
      <c r="H902" s="5"/>
      <c r="I902" s="5"/>
      <c r="N902" s="5"/>
    </row>
    <row r="903" ht="15.75" customHeight="1">
      <c r="H903" s="5"/>
      <c r="I903" s="5"/>
      <c r="N903" s="5"/>
    </row>
    <row r="904" ht="15.75" customHeight="1">
      <c r="H904" s="5"/>
      <c r="I904" s="5"/>
      <c r="N904" s="5"/>
    </row>
    <row r="905" ht="15.75" customHeight="1">
      <c r="H905" s="5"/>
      <c r="I905" s="5"/>
      <c r="N905" s="5"/>
    </row>
    <row r="906" ht="15.75" customHeight="1">
      <c r="H906" s="5"/>
      <c r="I906" s="5"/>
      <c r="N906" s="5"/>
    </row>
    <row r="907" ht="15.75" customHeight="1">
      <c r="H907" s="5"/>
      <c r="I907" s="5"/>
      <c r="N907" s="5"/>
    </row>
    <row r="908" ht="15.75" customHeight="1">
      <c r="H908" s="5"/>
      <c r="I908" s="5"/>
      <c r="N908" s="5"/>
    </row>
    <row r="909" ht="15.75" customHeight="1">
      <c r="H909" s="5"/>
      <c r="I909" s="5"/>
      <c r="N909" s="5"/>
    </row>
    <row r="910" ht="15.75" customHeight="1">
      <c r="H910" s="5"/>
      <c r="I910" s="5"/>
      <c r="N910" s="5"/>
    </row>
    <row r="911" ht="15.75" customHeight="1">
      <c r="H911" s="5"/>
      <c r="I911" s="5"/>
      <c r="N911" s="5"/>
    </row>
    <row r="912" ht="15.75" customHeight="1">
      <c r="H912" s="5"/>
      <c r="I912" s="5"/>
      <c r="N912" s="5"/>
    </row>
    <row r="913" ht="15.75" customHeight="1">
      <c r="H913" s="5"/>
      <c r="I913" s="5"/>
      <c r="N913" s="5"/>
    </row>
    <row r="914" ht="15.75" customHeight="1">
      <c r="H914" s="5"/>
      <c r="I914" s="5"/>
      <c r="N914" s="5"/>
    </row>
    <row r="915" ht="15.75" customHeight="1">
      <c r="H915" s="5"/>
      <c r="I915" s="5"/>
      <c r="N915" s="5"/>
    </row>
    <row r="916" ht="15.75" customHeight="1">
      <c r="H916" s="5"/>
      <c r="I916" s="5"/>
      <c r="N916" s="5"/>
    </row>
    <row r="917" ht="15.75" customHeight="1">
      <c r="H917" s="5"/>
      <c r="I917" s="5"/>
      <c r="N917" s="5"/>
    </row>
    <row r="918" ht="15.75" customHeight="1">
      <c r="H918" s="5"/>
      <c r="I918" s="5"/>
      <c r="N918" s="5"/>
    </row>
    <row r="919" ht="15.75" customHeight="1">
      <c r="H919" s="5"/>
      <c r="I919" s="5"/>
      <c r="N919" s="5"/>
    </row>
    <row r="920" ht="15.75" customHeight="1">
      <c r="H920" s="5"/>
      <c r="I920" s="5"/>
      <c r="N920" s="5"/>
    </row>
    <row r="921" ht="15.75" customHeight="1">
      <c r="H921" s="5"/>
      <c r="I921" s="5"/>
      <c r="N921" s="5"/>
    </row>
    <row r="922" ht="15.75" customHeight="1">
      <c r="H922" s="5"/>
      <c r="I922" s="5"/>
      <c r="N922" s="5"/>
    </row>
    <row r="923" ht="15.75" customHeight="1">
      <c r="H923" s="5"/>
      <c r="I923" s="5"/>
      <c r="N923" s="5"/>
    </row>
    <row r="924" ht="15.75" customHeight="1">
      <c r="H924" s="5"/>
      <c r="I924" s="5"/>
      <c r="N924" s="5"/>
    </row>
    <row r="925" ht="15.75" customHeight="1">
      <c r="H925" s="5"/>
      <c r="I925" s="5"/>
      <c r="N925" s="5"/>
    </row>
    <row r="926" ht="15.75" customHeight="1">
      <c r="H926" s="5"/>
      <c r="I926" s="5"/>
      <c r="N926" s="5"/>
    </row>
    <row r="927" ht="15.75" customHeight="1">
      <c r="H927" s="5"/>
      <c r="I927" s="5"/>
      <c r="N927" s="5"/>
    </row>
    <row r="928" ht="15.75" customHeight="1">
      <c r="H928" s="5"/>
      <c r="I928" s="5"/>
      <c r="N928" s="5"/>
    </row>
    <row r="929" ht="15.75" customHeight="1">
      <c r="H929" s="5"/>
      <c r="I929" s="5"/>
      <c r="N929" s="5"/>
    </row>
    <row r="930" ht="15.75" customHeight="1">
      <c r="H930" s="5"/>
      <c r="I930" s="5"/>
      <c r="N930" s="5"/>
    </row>
    <row r="931" ht="15.75" customHeight="1">
      <c r="H931" s="5"/>
      <c r="I931" s="5"/>
      <c r="N931" s="5"/>
    </row>
    <row r="932" ht="15.75" customHeight="1">
      <c r="H932" s="5"/>
      <c r="I932" s="5"/>
      <c r="N932" s="5"/>
    </row>
    <row r="933" ht="15.75" customHeight="1">
      <c r="H933" s="5"/>
      <c r="I933" s="5"/>
      <c r="N933" s="5"/>
    </row>
    <row r="934" ht="15.75" customHeight="1">
      <c r="H934" s="5"/>
      <c r="I934" s="5"/>
      <c r="N934" s="5"/>
    </row>
    <row r="935" ht="15.75" customHeight="1">
      <c r="H935" s="5"/>
      <c r="I935" s="5"/>
      <c r="N935" s="5"/>
    </row>
    <row r="936" ht="15.75" customHeight="1">
      <c r="H936" s="5"/>
      <c r="I936" s="5"/>
      <c r="N936" s="5"/>
    </row>
    <row r="937" ht="15.75" customHeight="1">
      <c r="H937" s="5"/>
      <c r="I937" s="5"/>
      <c r="N937" s="5"/>
    </row>
    <row r="938" ht="15.75" customHeight="1">
      <c r="H938" s="5"/>
      <c r="I938" s="5"/>
      <c r="N938" s="5"/>
    </row>
    <row r="939" ht="15.75" customHeight="1">
      <c r="H939" s="5"/>
      <c r="I939" s="5"/>
      <c r="N939" s="5"/>
    </row>
    <row r="940" ht="15.75" customHeight="1">
      <c r="H940" s="5"/>
      <c r="I940" s="5"/>
      <c r="N940" s="5"/>
    </row>
    <row r="941" ht="15.75" customHeight="1">
      <c r="H941" s="5"/>
      <c r="I941" s="5"/>
      <c r="N941" s="5"/>
    </row>
    <row r="942" ht="15.75" customHeight="1">
      <c r="H942" s="5"/>
      <c r="I942" s="5"/>
      <c r="N942" s="5"/>
    </row>
    <row r="943" ht="15.75" customHeight="1">
      <c r="H943" s="5"/>
      <c r="I943" s="5"/>
      <c r="N943" s="5"/>
    </row>
    <row r="944" ht="15.75" customHeight="1">
      <c r="H944" s="5"/>
      <c r="I944" s="5"/>
      <c r="N944" s="5"/>
    </row>
    <row r="945" ht="15.75" customHeight="1">
      <c r="H945" s="5"/>
      <c r="I945" s="5"/>
      <c r="N945" s="5"/>
    </row>
    <row r="946" ht="15.75" customHeight="1">
      <c r="H946" s="5"/>
      <c r="I946" s="5"/>
      <c r="N946" s="5"/>
    </row>
    <row r="947" ht="15.75" customHeight="1">
      <c r="H947" s="5"/>
      <c r="I947" s="5"/>
      <c r="N947" s="5"/>
    </row>
    <row r="948" ht="15.75" customHeight="1">
      <c r="H948" s="5"/>
      <c r="I948" s="5"/>
      <c r="N948" s="5"/>
    </row>
    <row r="949" ht="15.75" customHeight="1">
      <c r="H949" s="5"/>
      <c r="I949" s="5"/>
      <c r="N949" s="5"/>
    </row>
    <row r="950" ht="15.75" customHeight="1">
      <c r="H950" s="5"/>
      <c r="I950" s="5"/>
      <c r="N950" s="5"/>
    </row>
    <row r="951" ht="15.75" customHeight="1">
      <c r="H951" s="5"/>
      <c r="I951" s="5"/>
      <c r="N951" s="5"/>
    </row>
    <row r="952" ht="15.75" customHeight="1">
      <c r="H952" s="5"/>
      <c r="I952" s="5"/>
      <c r="N952" s="5"/>
    </row>
    <row r="953" ht="15.75" customHeight="1">
      <c r="H953" s="5"/>
      <c r="I953" s="5"/>
      <c r="N953" s="5"/>
    </row>
    <row r="954" ht="15.75" customHeight="1">
      <c r="H954" s="5"/>
      <c r="I954" s="5"/>
      <c r="N954" s="5"/>
    </row>
    <row r="955" ht="15.75" customHeight="1">
      <c r="H955" s="5"/>
      <c r="I955" s="5"/>
      <c r="N955" s="5"/>
    </row>
    <row r="956" ht="15.75" customHeight="1">
      <c r="H956" s="5"/>
      <c r="I956" s="5"/>
      <c r="N956" s="5"/>
    </row>
    <row r="957" ht="15.75" customHeight="1">
      <c r="H957" s="5"/>
      <c r="I957" s="5"/>
      <c r="N957" s="5"/>
    </row>
    <row r="958" ht="15.75" customHeight="1">
      <c r="H958" s="5"/>
      <c r="I958" s="5"/>
      <c r="N958" s="5"/>
    </row>
    <row r="959" ht="15.75" customHeight="1">
      <c r="H959" s="5"/>
      <c r="I959" s="5"/>
      <c r="N959" s="5"/>
    </row>
    <row r="960" ht="15.75" customHeight="1">
      <c r="H960" s="5"/>
      <c r="I960" s="5"/>
      <c r="N960" s="5"/>
    </row>
    <row r="961" ht="15.75" customHeight="1">
      <c r="H961" s="5"/>
      <c r="I961" s="5"/>
      <c r="N961" s="5"/>
    </row>
    <row r="962" ht="15.75" customHeight="1">
      <c r="H962" s="5"/>
      <c r="I962" s="5"/>
      <c r="N962" s="5"/>
    </row>
    <row r="963" ht="15.75" customHeight="1">
      <c r="H963" s="5"/>
      <c r="I963" s="5"/>
      <c r="N963" s="5"/>
    </row>
    <row r="964" ht="15.75" customHeight="1">
      <c r="H964" s="5"/>
      <c r="I964" s="5"/>
      <c r="N964" s="5"/>
    </row>
    <row r="965" ht="15.75" customHeight="1">
      <c r="H965" s="5"/>
      <c r="I965" s="5"/>
      <c r="N965" s="5"/>
    </row>
    <row r="966" ht="15.75" customHeight="1">
      <c r="H966" s="5"/>
      <c r="I966" s="5"/>
      <c r="N966" s="5"/>
    </row>
    <row r="967" ht="15.75" customHeight="1">
      <c r="H967" s="5"/>
      <c r="I967" s="5"/>
      <c r="N967" s="5"/>
    </row>
    <row r="968" ht="15.75" customHeight="1">
      <c r="H968" s="5"/>
      <c r="I968" s="5"/>
      <c r="N968" s="5"/>
    </row>
    <row r="969" ht="15.75" customHeight="1">
      <c r="H969" s="5"/>
      <c r="I969" s="5"/>
      <c r="N969" s="5"/>
    </row>
    <row r="970" ht="15.75" customHeight="1">
      <c r="H970" s="5"/>
      <c r="I970" s="5"/>
      <c r="N970" s="5"/>
    </row>
    <row r="971" ht="15.75" customHeight="1">
      <c r="H971" s="5"/>
      <c r="I971" s="5"/>
      <c r="N971" s="5"/>
    </row>
    <row r="972" ht="15.75" customHeight="1">
      <c r="H972" s="5"/>
      <c r="I972" s="5"/>
      <c r="N972" s="5"/>
    </row>
    <row r="973" ht="15.75" customHeight="1">
      <c r="H973" s="5"/>
      <c r="I973" s="5"/>
      <c r="N973" s="5"/>
    </row>
    <row r="974" ht="15.75" customHeight="1">
      <c r="H974" s="5"/>
      <c r="I974" s="5"/>
      <c r="N974" s="5"/>
    </row>
    <row r="975" ht="15.75" customHeight="1">
      <c r="H975" s="5"/>
      <c r="I975" s="5"/>
      <c r="N975" s="5"/>
    </row>
    <row r="976" ht="15.75" customHeight="1">
      <c r="H976" s="5"/>
      <c r="I976" s="5"/>
      <c r="N976" s="5"/>
    </row>
    <row r="977" ht="15.75" customHeight="1">
      <c r="H977" s="5"/>
      <c r="I977" s="5"/>
      <c r="N977" s="5"/>
    </row>
    <row r="978" ht="15.75" customHeight="1">
      <c r="H978" s="5"/>
      <c r="I978" s="5"/>
      <c r="N978" s="5"/>
    </row>
    <row r="979" ht="15.75" customHeight="1">
      <c r="H979" s="5"/>
      <c r="I979" s="5"/>
      <c r="N979" s="5"/>
    </row>
    <row r="980" ht="15.75" customHeight="1">
      <c r="H980" s="5"/>
      <c r="I980" s="5"/>
      <c r="N980" s="5"/>
    </row>
    <row r="981" ht="15.75" customHeight="1">
      <c r="H981" s="5"/>
      <c r="I981" s="5"/>
      <c r="N981" s="5"/>
    </row>
    <row r="982" ht="15.75" customHeight="1">
      <c r="H982" s="5"/>
      <c r="I982" s="5"/>
      <c r="N982" s="5"/>
    </row>
    <row r="983" ht="15.75" customHeight="1">
      <c r="H983" s="5"/>
      <c r="I983" s="5"/>
      <c r="N983" s="5"/>
    </row>
    <row r="984" ht="15.75" customHeight="1">
      <c r="H984" s="5"/>
      <c r="I984" s="5"/>
      <c r="N984" s="5"/>
    </row>
    <row r="985" ht="15.75" customHeight="1">
      <c r="H985" s="5"/>
      <c r="I985" s="5"/>
      <c r="N985" s="5"/>
    </row>
    <row r="986" ht="15.75" customHeight="1">
      <c r="H986" s="5"/>
      <c r="I986" s="5"/>
      <c r="N986" s="5"/>
    </row>
    <row r="987" ht="15.75" customHeight="1">
      <c r="H987" s="5"/>
      <c r="I987" s="5"/>
      <c r="N987" s="5"/>
    </row>
    <row r="988" ht="15.75" customHeight="1">
      <c r="H988" s="5"/>
      <c r="I988" s="5"/>
      <c r="N988" s="5"/>
    </row>
    <row r="989" ht="15.75" customHeight="1">
      <c r="H989" s="5"/>
      <c r="I989" s="5"/>
      <c r="N989" s="5"/>
    </row>
    <row r="990" ht="15.75" customHeight="1">
      <c r="H990" s="5"/>
      <c r="I990" s="5"/>
      <c r="N990" s="5"/>
    </row>
    <row r="991" ht="15.75" customHeight="1">
      <c r="H991" s="5"/>
      <c r="I991" s="5"/>
      <c r="N991" s="5"/>
    </row>
    <row r="992" ht="15.75" customHeight="1">
      <c r="H992" s="5"/>
      <c r="I992" s="5"/>
      <c r="N992" s="5"/>
    </row>
    <row r="993" ht="15.75" customHeight="1">
      <c r="H993" s="5"/>
      <c r="I993" s="5"/>
      <c r="N993" s="5"/>
    </row>
    <row r="994" ht="15.75" customHeight="1">
      <c r="H994" s="5"/>
      <c r="I994" s="5"/>
      <c r="N994" s="5"/>
    </row>
    <row r="995" ht="15.75" customHeight="1">
      <c r="H995" s="5"/>
      <c r="I995" s="5"/>
      <c r="N995" s="5"/>
    </row>
    <row r="996" ht="15.75" customHeight="1">
      <c r="H996" s="5"/>
      <c r="I996" s="5"/>
      <c r="N996" s="5"/>
    </row>
    <row r="997" ht="15.75" customHeight="1">
      <c r="H997" s="5"/>
      <c r="I997" s="5"/>
      <c r="N997" s="5"/>
    </row>
    <row r="998" ht="15.75" customHeight="1">
      <c r="H998" s="5"/>
      <c r="I998" s="5"/>
      <c r="N998" s="5"/>
    </row>
    <row r="999" ht="15.75" customHeight="1">
      <c r="H999" s="5"/>
      <c r="I999" s="5"/>
      <c r="N999" s="5"/>
    </row>
    <row r="1000" ht="15.75" customHeight="1">
      <c r="H1000" s="5"/>
      <c r="I1000" s="5"/>
      <c r="N1000" s="5"/>
    </row>
  </sheetData>
  <autoFilter ref="$A$1:$F$4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2010-12-15T00:33:10Z</dcterms:created>
  <dc:creator>Richard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f7a05be4-425a-4ddb-9d9c-ffd5d5a2b24d</vt:lpwstr>
  </property>
  <property fmtid="{D5CDD505-2E9C-101B-9397-08002B2CF9AE}" pid="3" name="bjSaver">
    <vt:lpwstr>BJxIvXtNMJivSXUh/Fh00GuvZUYjkm7k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policy="d837ce2c-d5ff-4523-9e8b-f2f1ecc11bad" xmlns="http://www.boldonjames.com/2008/01/sie/i</vt:lpwstr>
  </property>
  <property fmtid="{D5CDD505-2E9C-101B-9397-08002B2CF9AE}" pid="5" name="bjDocumentLabelXML-0">
    <vt:lpwstr>nternal/label"&gt;&lt;element uid="eec9633d-eb05-4212-80b9-61b7bc9d63ac" value="" /&gt;&lt;/sisl&gt;</vt:lpwstr>
  </property>
  <property fmtid="{D5CDD505-2E9C-101B-9397-08002B2CF9AE}" pid="6" name="bjDocumentSecurityLabel">
    <vt:lpwstr>Not Sensitive</vt:lpwstr>
  </property>
  <property fmtid="{D5CDD505-2E9C-101B-9397-08002B2CF9AE}" pid="7" name="MSIP_Label_45bb2fc7-9575-4989-9d50-5111b23d1bc4_Enabled">
    <vt:lpwstr>true</vt:lpwstr>
  </property>
  <property fmtid="{D5CDD505-2E9C-101B-9397-08002B2CF9AE}" pid="8" name="MSIP_Label_45bb2fc7-9575-4989-9d50-5111b23d1bc4_SetDate">
    <vt:lpwstr>2026-03-17T10:11:44Z</vt:lpwstr>
  </property>
  <property fmtid="{D5CDD505-2E9C-101B-9397-08002B2CF9AE}" pid="9" name="MSIP_Label_45bb2fc7-9575-4989-9d50-5111b23d1bc4_Method">
    <vt:lpwstr>Standard</vt:lpwstr>
  </property>
  <property fmtid="{D5CDD505-2E9C-101B-9397-08002B2CF9AE}" pid="10" name="MSIP_Label_45bb2fc7-9575-4989-9d50-5111b23d1bc4_Name">
    <vt:lpwstr>defa4170-0d19-0005-0004-bc88714345d2</vt:lpwstr>
  </property>
  <property fmtid="{D5CDD505-2E9C-101B-9397-08002B2CF9AE}" pid="11" name="MSIP_Label_45bb2fc7-9575-4989-9d50-5111b23d1bc4_SiteId">
    <vt:lpwstr>094cfb7a-d131-4637-9047-e339e7d04359</vt:lpwstr>
  </property>
  <property fmtid="{D5CDD505-2E9C-101B-9397-08002B2CF9AE}" pid="12" name="MSIP_Label_45bb2fc7-9575-4989-9d50-5111b23d1bc4_ActionId">
    <vt:lpwstr>6589cf87-333c-4117-aad5-d69d9d7228e2</vt:lpwstr>
  </property>
  <property fmtid="{D5CDD505-2E9C-101B-9397-08002B2CF9AE}" pid="13" name="MSIP_Label_45bb2fc7-9575-4989-9d50-5111b23d1bc4_ContentBits">
    <vt:lpwstr>0</vt:lpwstr>
  </property>
  <property fmtid="{D5CDD505-2E9C-101B-9397-08002B2CF9AE}" pid="14" name="MSIP_Label_45bb2fc7-9575-4989-9d50-5111b23d1bc4_Tag">
    <vt:lpwstr>50, 3, 0, 1</vt:lpwstr>
  </property>
</Properties>
</file>